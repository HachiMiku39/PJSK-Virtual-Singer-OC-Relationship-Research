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bf9b94075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×20矩阵" sheetId="1" r:id="R5d9b764fd8924b54"/>
    <x:sheet xmlns:r="http://schemas.openxmlformats.org/officeDocument/2006/relationships" name="120组关系明细" sheetId="2" r:id="Ra5ae5edc6e694c4f"/>
    <x:sheet xmlns:r="http://schemas.openxmlformats.org/officeDocument/2006/relationships" name="评分规则" sheetId="3" r:id="R1084f861a398435b"/>
    <x:sheet xmlns:r="http://schemas.openxmlformats.org/officeDocument/2006/relationships" name="一歌情感评分" sheetId="4" r:id="Rdb89d0bab7354224"/>
    <x:sheet xmlns:r="http://schemas.openxmlformats.org/officeDocument/2006/relationships" name="情感证据" sheetId="5" r:id="R28a674645553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263244"/>
      <x:name val="Helvetica Neue"/>
    </x:font>
    <x:font>
      <x:sz val="16"/>
      <x:color rgb="FF263244"/>
      <x:name val="Helvetica Neue"/>
    </x:font>
    <x:font>
      <x:b/>
      <x:sz val="11"/>
      <x:color rgb="FFFFFFFF"/>
      <x:name val="Helvetica Neue"/>
    </x:font>
    <x:font>
      <x:sz val="11"/>
      <x:color rgb="FF667085"/>
      <x:name val="Helvetica Neue"/>
    </x:font>
  </x:fonts>
  <x:fills count="7">
    <x:fill>
      <x:patternFill patternType="none"/>
    </x:fill>
    <x:fill>
      <x:patternFill patternType="gray125"/>
    </x:fill>
    <x:fill>
      <x:patternFill patternType="solid">
        <x:fgColor rgb="FF34455B"/>
      </x:patternFill>
    </x:fill>
    <x:fill>
      <x:patternFill patternType="solid">
        <x:fgColor rgb="FFE9EEF5"/>
      </x:patternFill>
    </x:fill>
    <x:fill>
      <x:patternFill patternType="solid">
        <x:fgColor rgb="FFFFF5D8"/>
      </x:patternFill>
    </x:fill>
    <x:fill>
      <x:patternFill patternType="solid">
        <x:fgColor rgb="FF34455B"/>
      </x:patternFill>
    </x:fill>
    <x:fill>
      <x:patternFill patternType="solid">
        <x:fgColor rgb="FFFFF5D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95b54a3d74569" /><Relationship Type="http://schemas.openxmlformats.org/officeDocument/2006/relationships/theme" Target="/xl/theme/theme1.xml" Id="Rfa0eb57778034f70" /><Relationship Type="http://schemas.openxmlformats.org/officeDocument/2006/relationships/sharedStrings" Target="/xl/sharedStrings.xml" Id="R4945bacf43434751" /><Relationship Type="http://schemas.openxmlformats.org/officeDocument/2006/relationships/worksheet" Target="/xl/worksheets/sheet1.xml" Id="R5d9b764fd8924b54" /><Relationship Type="http://schemas.openxmlformats.org/officeDocument/2006/relationships/worksheet" Target="/xl/worksheets/sheet2.xml" Id="Ra5ae5edc6e694c4f" /><Relationship Type="http://schemas.openxmlformats.org/officeDocument/2006/relationships/worksheet" Target="/xl/worksheets/sheet3.xml" Id="R1084f861a398435b" /><Relationship Type="http://schemas.openxmlformats.org/officeDocument/2006/relationships/worksheet" Target="/xl/worksheets/sheet4.xml" Id="Rdb89d0bab7354224" /><Relationship Type="http://schemas.openxmlformats.org/officeDocument/2006/relationships/worksheet" Target="/xl/worksheets/sheet5.xml" Id="R28a6746455534d4e" /></Relationships>
</file>

<file path=xl/tables/table1.xml><?xml version="1.0" encoding="utf-8"?>
<x:table xmlns:x="http://schemas.openxmlformats.org/spreadsheetml/2006/main" id="1" name="Relations" displayName="Relations" ref="A4:T124" headerRowCount="1" totalsRowCount="0" totalsRowShown="0">
  <x:tableColumns count="20">
    <x:tableColumn id="1" name="关系标识"/>
    <x:tableColumn id="2" name="组合"/>
    <x:tableColumn id="3" name="OC"/>
    <x:tableColumn id="4" name="VS"/>
    <x:tableColumn id="5" name="评估状态"/>
    <x:tableColumn id="6" name="K"/>
    <x:tableColumn id="7" name="独立强剧情线数"/>
    <x:tableColumn id="8" name="C"/>
    <x:tableColumn id="9" name="S"/>
    <x:tableColumn id="10" name="T"/>
    <x:tableColumn id="11" name="B"/>
    <x:tableColumn id="12" name="展示指数 I"/>
    <x:tableColumn id="13" name="置信度"/>
    <x:tableColumn id="14" name="核查范围"/>
    <x:tableColumn id="15" name="证据与独立剧情线"/>
    <x:tableColumn id="16" name="时期划分与日期"/>
    <x:tableColumn id="17" name="功能分类依据"/>
    <x:tableColumn id="18" name="来源链接"/>
    <x:tableColumn id="19" name="OC 日文名"/>
    <x:tableColumn id="20" name="VS 日文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c2e6f17f714c4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6" customHeight="1">
      <x:c r="A1" s="2" t="str">
        <x:v>V3 关系评分矩阵：一歌日文首轮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6" customHeight="1">
      <x:c r="A2" s="1" t="str">
        <x:v>只量化 VS 在 OC 成长叙事中的可观察结构性重要程度。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6" customHeight="1">
      <x:c r="A3" s="1" t="str">
        <x:v>一歌 6 组已有暂定值，其他 114 组未评估。比较顺序：K → S → C → T → B。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6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8" customHeight="1">
      <x:c r="A5" s="5" t="str">
        <x:v>VS / OC</x:v>
      </x:c>
      <x:c r="B5" s="5" t="str">
        <x:v>星乃一歌</x:v>
      </x:c>
      <x:c r="C5" s="5" t="str">
        <x:v>天马咲希</x:v>
      </x:c>
      <x:c r="D5" s="5" t="str">
        <x:v>望月穗波</x:v>
      </x:c>
      <x:c r="E5" s="5" t="str">
        <x:v>日野森志步</x:v>
      </x:c>
      <x:c r="F5" s="5" t="str">
        <x:v>花里实乃理</x:v>
      </x:c>
      <x:c r="G5" s="5" t="str">
        <x:v>桐谷遥</x:v>
      </x:c>
      <x:c r="H5" s="5" t="str">
        <x:v>桃井爱莉</x:v>
      </x:c>
      <x:c r="I5" s="5" t="str">
        <x:v>日野森雫</x:v>
      </x:c>
      <x:c r="J5" s="5" t="str">
        <x:v>小豆泽心羽</x:v>
      </x:c>
      <x:c r="K5" s="5" t="str">
        <x:v>白石杏</x:v>
      </x:c>
      <x:c r="L5" s="5" t="str">
        <x:v>东云彰人</x:v>
      </x:c>
      <x:c r="M5" s="5" t="str">
        <x:v>青柳冬弥</x:v>
      </x:c>
      <x:c r="N5" s="5" t="str">
        <x:v>天马司</x:v>
      </x:c>
      <x:c r="O5" s="5" t="str">
        <x:v>凤笑梦</x:v>
      </x:c>
      <x:c r="P5" s="5" t="str">
        <x:v>草薙宁宁</x:v>
      </x:c>
      <x:c r="Q5" s="5" t="str">
        <x:v>神代类</x:v>
      </x:c>
      <x:c r="R5" s="5" t="str">
        <x:v>宵崎奏</x:v>
      </x:c>
      <x:c r="S5" s="5" t="str">
        <x:v>朝比奈真冬</x:v>
      </x:c>
      <x:c r="T5" s="5" t="str">
        <x:v>东云绘名</x:v>
      </x:c>
      <x:c r="U5" s="5" t="str">
        <x:v>晓山瑞希</x:v>
      </x:c>
    </x:row>
    <x:row r="6" ht="26" customHeight="1">
      <x:c r="A6" s="6" t="str">
        <x:v>初音未来</x:v>
      </x:c>
      <x:c r="B6" s="8" t="n">
        <x:f>IF(INDEX('120组关系明细'!$L$5:$L$124,MATCH(B$5&amp;"/"&amp;$A6,'120组关系明细'!$A$5:$A$124,0))="",INDEX('120组关系明细'!$E$5:$E$124,MATCH(B$5&amp;"/"&amp;$A6,'120组关系明细'!$A$5:$A$124,0)),INDEX('120组关系明细'!$L$5:$L$124,MATCH(B$5&amp;"/"&amp;$A6,'120组关系明细'!$A$5:$A$124,0)))</x:f>
        <x:v>100</x:v>
      </x:c>
      <x:c r="C6" s="8" t="str">
        <x:f>IF(INDEX('120组关系明细'!$L$5:$L$124,MATCH(C$5&amp;"/"&amp;$A6,'120组关系明细'!$A$5:$A$124,0))="",INDEX('120组关系明细'!$E$5:$E$124,MATCH(C$5&amp;"/"&amp;$A6,'120组关系明细'!$A$5:$A$124,0)),INDEX('120组关系明细'!$L$5:$L$124,MATCH(C$5&amp;"/"&amp;$A6,'120组关系明细'!$A$5:$A$124,0)))</x:f>
        <x:v>未评估</x:v>
      </x:c>
      <x:c r="D6" s="8" t="str">
        <x:f>IF(INDEX('120组关系明细'!$L$5:$L$124,MATCH(D$5&amp;"/"&amp;$A6,'120组关系明细'!$A$5:$A$124,0))="",INDEX('120组关系明细'!$E$5:$E$124,MATCH(D$5&amp;"/"&amp;$A6,'120组关系明细'!$A$5:$A$124,0)),INDEX('120组关系明细'!$L$5:$L$124,MATCH(D$5&amp;"/"&amp;$A6,'120组关系明细'!$A$5:$A$124,0)))</x:f>
        <x:v>未评估</x:v>
      </x:c>
      <x:c r="E6" s="8" t="str">
        <x:f>IF(INDEX('120组关系明细'!$L$5:$L$124,MATCH(E$5&amp;"/"&amp;$A6,'120组关系明细'!$A$5:$A$124,0))="",INDEX('120组关系明细'!$E$5:$E$124,MATCH(E$5&amp;"/"&amp;$A6,'120组关系明细'!$A$5:$A$124,0)),INDEX('120组关系明细'!$L$5:$L$124,MATCH(E$5&amp;"/"&amp;$A6,'120组关系明细'!$A$5:$A$124,0)))</x:f>
        <x:v>未评估</x:v>
      </x:c>
      <x:c r="F6" s="8" t="str">
        <x:f>IF(INDEX('120组关系明细'!$L$5:$L$124,MATCH(F$5&amp;"/"&amp;$A6,'120组关系明细'!$A$5:$A$124,0))="",INDEX('120组关系明细'!$E$5:$E$124,MATCH(F$5&amp;"/"&amp;$A6,'120组关系明细'!$A$5:$A$124,0)),INDEX('120组关系明细'!$L$5:$L$124,MATCH(F$5&amp;"/"&amp;$A6,'120组关系明细'!$A$5:$A$124,0)))</x:f>
        <x:v>未评估</x:v>
      </x:c>
      <x:c r="G6" s="8" t="str">
        <x:f>IF(INDEX('120组关系明细'!$L$5:$L$124,MATCH(G$5&amp;"/"&amp;$A6,'120组关系明细'!$A$5:$A$124,0))="",INDEX('120组关系明细'!$E$5:$E$124,MATCH(G$5&amp;"/"&amp;$A6,'120组关系明细'!$A$5:$A$124,0)),INDEX('120组关系明细'!$L$5:$L$124,MATCH(G$5&amp;"/"&amp;$A6,'120组关系明细'!$A$5:$A$124,0)))</x:f>
        <x:v>未评估</x:v>
      </x:c>
      <x:c r="H6" s="8" t="str">
        <x:f>IF(INDEX('120组关系明细'!$L$5:$L$124,MATCH(H$5&amp;"/"&amp;$A6,'120组关系明细'!$A$5:$A$124,0))="",INDEX('120组关系明细'!$E$5:$E$124,MATCH(H$5&amp;"/"&amp;$A6,'120组关系明细'!$A$5:$A$124,0)),INDEX('120组关系明细'!$L$5:$L$124,MATCH(H$5&amp;"/"&amp;$A6,'120组关系明细'!$A$5:$A$124,0)))</x:f>
        <x:v>未评估</x:v>
      </x:c>
      <x:c r="I6" s="8" t="str">
        <x:f>IF(INDEX('120组关系明细'!$L$5:$L$124,MATCH(I$5&amp;"/"&amp;$A6,'120组关系明细'!$A$5:$A$124,0))="",INDEX('120组关系明细'!$E$5:$E$124,MATCH(I$5&amp;"/"&amp;$A6,'120组关系明细'!$A$5:$A$124,0)),INDEX('120组关系明细'!$L$5:$L$124,MATCH(I$5&amp;"/"&amp;$A6,'120组关系明细'!$A$5:$A$124,0)))</x:f>
        <x:v>未评估</x:v>
      </x:c>
      <x:c r="J6" s="8" t="str">
        <x:f>IF(INDEX('120组关系明细'!$L$5:$L$124,MATCH(J$5&amp;"/"&amp;$A6,'120组关系明细'!$A$5:$A$124,0))="",INDEX('120组关系明细'!$E$5:$E$124,MATCH(J$5&amp;"/"&amp;$A6,'120组关系明细'!$A$5:$A$124,0)),INDEX('120组关系明细'!$L$5:$L$124,MATCH(J$5&amp;"/"&amp;$A6,'120组关系明细'!$A$5:$A$124,0)))</x:f>
        <x:v>未评估</x:v>
      </x:c>
      <x:c r="K6" s="8" t="str">
        <x:f>IF(INDEX('120组关系明细'!$L$5:$L$124,MATCH(K$5&amp;"/"&amp;$A6,'120组关系明细'!$A$5:$A$124,0))="",INDEX('120组关系明细'!$E$5:$E$124,MATCH(K$5&amp;"/"&amp;$A6,'120组关系明细'!$A$5:$A$124,0)),INDEX('120组关系明细'!$L$5:$L$124,MATCH(K$5&amp;"/"&amp;$A6,'120组关系明细'!$A$5:$A$124,0)))</x:f>
        <x:v>未评估</x:v>
      </x:c>
      <x:c r="L6" s="8" t="str">
        <x:f>IF(INDEX('120组关系明细'!$L$5:$L$124,MATCH(L$5&amp;"/"&amp;$A6,'120组关系明细'!$A$5:$A$124,0))="",INDEX('120组关系明细'!$E$5:$E$124,MATCH(L$5&amp;"/"&amp;$A6,'120组关系明细'!$A$5:$A$124,0)),INDEX('120组关系明细'!$L$5:$L$124,MATCH(L$5&amp;"/"&amp;$A6,'120组关系明细'!$A$5:$A$124,0)))</x:f>
        <x:v>未评估</x:v>
      </x:c>
      <x:c r="M6" s="8" t="str">
        <x:f>IF(INDEX('120组关系明细'!$L$5:$L$124,MATCH(M$5&amp;"/"&amp;$A6,'120组关系明细'!$A$5:$A$124,0))="",INDEX('120组关系明细'!$E$5:$E$124,MATCH(M$5&amp;"/"&amp;$A6,'120组关系明细'!$A$5:$A$124,0)),INDEX('120组关系明细'!$L$5:$L$124,MATCH(M$5&amp;"/"&amp;$A6,'120组关系明细'!$A$5:$A$124,0)))</x:f>
        <x:v>未评估</x:v>
      </x:c>
      <x:c r="N6" s="8" t="str">
        <x:f>IF(INDEX('120组关系明细'!$L$5:$L$124,MATCH(N$5&amp;"/"&amp;$A6,'120组关系明细'!$A$5:$A$124,0))="",INDEX('120组关系明细'!$E$5:$E$124,MATCH(N$5&amp;"/"&amp;$A6,'120组关系明细'!$A$5:$A$124,0)),INDEX('120组关系明细'!$L$5:$L$124,MATCH(N$5&amp;"/"&amp;$A6,'120组关系明细'!$A$5:$A$124,0)))</x:f>
        <x:v>未评估</x:v>
      </x:c>
      <x:c r="O6" s="8" t="str">
        <x:f>IF(INDEX('120组关系明细'!$L$5:$L$124,MATCH(O$5&amp;"/"&amp;$A6,'120组关系明细'!$A$5:$A$124,0))="",INDEX('120组关系明细'!$E$5:$E$124,MATCH(O$5&amp;"/"&amp;$A6,'120组关系明细'!$A$5:$A$124,0)),INDEX('120组关系明细'!$L$5:$L$124,MATCH(O$5&amp;"/"&amp;$A6,'120组关系明细'!$A$5:$A$124,0)))</x:f>
        <x:v>未评估</x:v>
      </x:c>
      <x:c r="P6" s="8" t="str">
        <x:f>IF(INDEX('120组关系明细'!$L$5:$L$124,MATCH(P$5&amp;"/"&amp;$A6,'120组关系明细'!$A$5:$A$124,0))="",INDEX('120组关系明细'!$E$5:$E$124,MATCH(P$5&amp;"/"&amp;$A6,'120组关系明细'!$A$5:$A$124,0)),INDEX('120组关系明细'!$L$5:$L$124,MATCH(P$5&amp;"/"&amp;$A6,'120组关系明细'!$A$5:$A$124,0)))</x:f>
        <x:v>未评估</x:v>
      </x:c>
      <x:c r="Q6" s="8" t="str">
        <x:f>IF(INDEX('120组关系明细'!$L$5:$L$124,MATCH(Q$5&amp;"/"&amp;$A6,'120组关系明细'!$A$5:$A$124,0))="",INDEX('120组关系明细'!$E$5:$E$124,MATCH(Q$5&amp;"/"&amp;$A6,'120组关系明细'!$A$5:$A$124,0)),INDEX('120组关系明细'!$L$5:$L$124,MATCH(Q$5&amp;"/"&amp;$A6,'120组关系明细'!$A$5:$A$124,0)))</x:f>
        <x:v>未评估</x:v>
      </x:c>
      <x:c r="R6" s="8" t="str">
        <x:f>IF(INDEX('120组关系明细'!$L$5:$L$124,MATCH(R$5&amp;"/"&amp;$A6,'120组关系明细'!$A$5:$A$124,0))="",INDEX('120组关系明细'!$E$5:$E$124,MATCH(R$5&amp;"/"&amp;$A6,'120组关系明细'!$A$5:$A$124,0)),INDEX('120组关系明细'!$L$5:$L$124,MATCH(R$5&amp;"/"&amp;$A6,'120组关系明细'!$A$5:$A$124,0)))</x:f>
        <x:v>未评估</x:v>
      </x:c>
      <x:c r="S6" s="8" t="str">
        <x:f>IF(INDEX('120组关系明细'!$L$5:$L$124,MATCH(S$5&amp;"/"&amp;$A6,'120组关系明细'!$A$5:$A$124,0))="",INDEX('120组关系明细'!$E$5:$E$124,MATCH(S$5&amp;"/"&amp;$A6,'120组关系明细'!$A$5:$A$124,0)),INDEX('120组关系明细'!$L$5:$L$124,MATCH(S$5&amp;"/"&amp;$A6,'120组关系明细'!$A$5:$A$124,0)))</x:f>
        <x:v>未评估</x:v>
      </x:c>
      <x:c r="T6" s="8" t="str">
        <x:f>IF(INDEX('120组关系明细'!$L$5:$L$124,MATCH(T$5&amp;"/"&amp;$A6,'120组关系明细'!$A$5:$A$124,0))="",INDEX('120组关系明细'!$E$5:$E$124,MATCH(T$5&amp;"/"&amp;$A6,'120组关系明细'!$A$5:$A$124,0)),INDEX('120组关系明细'!$L$5:$L$124,MATCH(T$5&amp;"/"&amp;$A6,'120组关系明细'!$A$5:$A$124,0)))</x:f>
        <x:v>未评估</x:v>
      </x:c>
      <x:c r="U6" s="8" t="str">
        <x:f>IF(INDEX('120组关系明细'!$L$5:$L$124,MATCH(U$5&amp;"/"&amp;$A6,'120组关系明细'!$A$5:$A$124,0))="",INDEX('120组关系明细'!$E$5:$E$124,MATCH(U$5&amp;"/"&amp;$A6,'120组关系明细'!$A$5:$A$124,0)),INDEX('120组关系明细'!$L$5:$L$124,MATCH(U$5&amp;"/"&amp;$A6,'120组关系明细'!$A$5:$A$124,0)))</x:f>
        <x:v>未评估</x:v>
      </x:c>
    </x:row>
    <x:row r="7" ht="26" customHeight="1">
      <x:c r="A7" s="6" t="str">
        <x:v>镜音铃</x:v>
      </x:c>
      <x:c r="B7" s="8" t="n">
        <x:f>IF(INDEX('120组关系明细'!$L$5:$L$124,MATCH(B$5&amp;"/"&amp;$A7,'120组关系明细'!$A$5:$A$124,0))="",INDEX('120组关系明细'!$E$5:$E$124,MATCH(B$5&amp;"/"&amp;$A7,'120组关系明细'!$A$5:$A$124,0)),INDEX('120组关系明细'!$L$5:$L$124,MATCH(B$5&amp;"/"&amp;$A7,'120组关系明细'!$A$5:$A$124,0)))</x:f>
        <x:v>68.41666666666667</x:v>
      </x:c>
      <x:c r="C7" s="8" t="str">
        <x:f>IF(INDEX('120组关系明细'!$L$5:$L$124,MATCH(C$5&amp;"/"&amp;$A7,'120组关系明细'!$A$5:$A$124,0))="",INDEX('120组关系明细'!$E$5:$E$124,MATCH(C$5&amp;"/"&amp;$A7,'120组关系明细'!$A$5:$A$124,0)),INDEX('120组关系明细'!$L$5:$L$124,MATCH(C$5&amp;"/"&amp;$A7,'120组关系明细'!$A$5:$A$124,0)))</x:f>
        <x:v>未评估</x:v>
      </x:c>
      <x:c r="D7" s="8" t="str">
        <x:f>IF(INDEX('120组关系明细'!$L$5:$L$124,MATCH(D$5&amp;"/"&amp;$A7,'120组关系明细'!$A$5:$A$124,0))="",INDEX('120组关系明细'!$E$5:$E$124,MATCH(D$5&amp;"/"&amp;$A7,'120组关系明细'!$A$5:$A$124,0)),INDEX('120组关系明细'!$L$5:$L$124,MATCH(D$5&amp;"/"&amp;$A7,'120组关系明细'!$A$5:$A$124,0)))</x:f>
        <x:v>未评估</x:v>
      </x:c>
      <x:c r="E7" s="8" t="str">
        <x:f>IF(INDEX('120组关系明细'!$L$5:$L$124,MATCH(E$5&amp;"/"&amp;$A7,'120组关系明细'!$A$5:$A$124,0))="",INDEX('120组关系明细'!$E$5:$E$124,MATCH(E$5&amp;"/"&amp;$A7,'120组关系明细'!$A$5:$A$124,0)),INDEX('120组关系明细'!$L$5:$L$124,MATCH(E$5&amp;"/"&amp;$A7,'120组关系明细'!$A$5:$A$124,0)))</x:f>
        <x:v>未评估</x:v>
      </x:c>
      <x:c r="F7" s="8" t="str">
        <x:f>IF(INDEX('120组关系明细'!$L$5:$L$124,MATCH(F$5&amp;"/"&amp;$A7,'120组关系明细'!$A$5:$A$124,0))="",INDEX('120组关系明细'!$E$5:$E$124,MATCH(F$5&amp;"/"&amp;$A7,'120组关系明细'!$A$5:$A$124,0)),INDEX('120组关系明细'!$L$5:$L$124,MATCH(F$5&amp;"/"&amp;$A7,'120组关系明细'!$A$5:$A$124,0)))</x:f>
        <x:v>未评估</x:v>
      </x:c>
      <x:c r="G7" s="8" t="str">
        <x:f>IF(INDEX('120组关系明细'!$L$5:$L$124,MATCH(G$5&amp;"/"&amp;$A7,'120组关系明细'!$A$5:$A$124,0))="",INDEX('120组关系明细'!$E$5:$E$124,MATCH(G$5&amp;"/"&amp;$A7,'120组关系明细'!$A$5:$A$124,0)),INDEX('120组关系明细'!$L$5:$L$124,MATCH(G$5&amp;"/"&amp;$A7,'120组关系明细'!$A$5:$A$124,0)))</x:f>
        <x:v>未评估</x:v>
      </x:c>
      <x:c r="H7" s="8" t="str">
        <x:f>IF(INDEX('120组关系明细'!$L$5:$L$124,MATCH(H$5&amp;"/"&amp;$A7,'120组关系明细'!$A$5:$A$124,0))="",INDEX('120组关系明细'!$E$5:$E$124,MATCH(H$5&amp;"/"&amp;$A7,'120组关系明细'!$A$5:$A$124,0)),INDEX('120组关系明细'!$L$5:$L$124,MATCH(H$5&amp;"/"&amp;$A7,'120组关系明细'!$A$5:$A$124,0)))</x:f>
        <x:v>未评估</x:v>
      </x:c>
      <x:c r="I7" s="8" t="str">
        <x:f>IF(INDEX('120组关系明细'!$L$5:$L$124,MATCH(I$5&amp;"/"&amp;$A7,'120组关系明细'!$A$5:$A$124,0))="",INDEX('120组关系明细'!$E$5:$E$124,MATCH(I$5&amp;"/"&amp;$A7,'120组关系明细'!$A$5:$A$124,0)),INDEX('120组关系明细'!$L$5:$L$124,MATCH(I$5&amp;"/"&amp;$A7,'120组关系明细'!$A$5:$A$124,0)))</x:f>
        <x:v>未评估</x:v>
      </x:c>
      <x:c r="J7" s="8" t="str">
        <x:f>IF(INDEX('120组关系明细'!$L$5:$L$124,MATCH(J$5&amp;"/"&amp;$A7,'120组关系明细'!$A$5:$A$124,0))="",INDEX('120组关系明细'!$E$5:$E$124,MATCH(J$5&amp;"/"&amp;$A7,'120组关系明细'!$A$5:$A$124,0)),INDEX('120组关系明细'!$L$5:$L$124,MATCH(J$5&amp;"/"&amp;$A7,'120组关系明细'!$A$5:$A$124,0)))</x:f>
        <x:v>未评估</x:v>
      </x:c>
      <x:c r="K7" s="8" t="str">
        <x:f>IF(INDEX('120组关系明细'!$L$5:$L$124,MATCH(K$5&amp;"/"&amp;$A7,'120组关系明细'!$A$5:$A$124,0))="",INDEX('120组关系明细'!$E$5:$E$124,MATCH(K$5&amp;"/"&amp;$A7,'120组关系明细'!$A$5:$A$124,0)),INDEX('120组关系明细'!$L$5:$L$124,MATCH(K$5&amp;"/"&amp;$A7,'120组关系明细'!$A$5:$A$124,0)))</x:f>
        <x:v>未评估</x:v>
      </x:c>
      <x:c r="L7" s="8" t="str">
        <x:f>IF(INDEX('120组关系明细'!$L$5:$L$124,MATCH(L$5&amp;"/"&amp;$A7,'120组关系明细'!$A$5:$A$124,0))="",INDEX('120组关系明细'!$E$5:$E$124,MATCH(L$5&amp;"/"&amp;$A7,'120组关系明细'!$A$5:$A$124,0)),INDEX('120组关系明细'!$L$5:$L$124,MATCH(L$5&amp;"/"&amp;$A7,'120组关系明细'!$A$5:$A$124,0)))</x:f>
        <x:v>未评估</x:v>
      </x:c>
      <x:c r="M7" s="8" t="str">
        <x:f>IF(INDEX('120组关系明细'!$L$5:$L$124,MATCH(M$5&amp;"/"&amp;$A7,'120组关系明细'!$A$5:$A$124,0))="",INDEX('120组关系明细'!$E$5:$E$124,MATCH(M$5&amp;"/"&amp;$A7,'120组关系明细'!$A$5:$A$124,0)),INDEX('120组关系明细'!$L$5:$L$124,MATCH(M$5&amp;"/"&amp;$A7,'120组关系明细'!$A$5:$A$124,0)))</x:f>
        <x:v>未评估</x:v>
      </x:c>
      <x:c r="N7" s="8" t="str">
        <x:f>IF(INDEX('120组关系明细'!$L$5:$L$124,MATCH(N$5&amp;"/"&amp;$A7,'120组关系明细'!$A$5:$A$124,0))="",INDEX('120组关系明细'!$E$5:$E$124,MATCH(N$5&amp;"/"&amp;$A7,'120组关系明细'!$A$5:$A$124,0)),INDEX('120组关系明细'!$L$5:$L$124,MATCH(N$5&amp;"/"&amp;$A7,'120组关系明细'!$A$5:$A$124,0)))</x:f>
        <x:v>未评估</x:v>
      </x:c>
      <x:c r="O7" s="8" t="str">
        <x:f>IF(INDEX('120组关系明细'!$L$5:$L$124,MATCH(O$5&amp;"/"&amp;$A7,'120组关系明细'!$A$5:$A$124,0))="",INDEX('120组关系明细'!$E$5:$E$124,MATCH(O$5&amp;"/"&amp;$A7,'120组关系明细'!$A$5:$A$124,0)),INDEX('120组关系明细'!$L$5:$L$124,MATCH(O$5&amp;"/"&amp;$A7,'120组关系明细'!$A$5:$A$124,0)))</x:f>
        <x:v>未评估</x:v>
      </x:c>
      <x:c r="P7" s="8" t="str">
        <x:f>IF(INDEX('120组关系明细'!$L$5:$L$124,MATCH(P$5&amp;"/"&amp;$A7,'120组关系明细'!$A$5:$A$124,0))="",INDEX('120组关系明细'!$E$5:$E$124,MATCH(P$5&amp;"/"&amp;$A7,'120组关系明细'!$A$5:$A$124,0)),INDEX('120组关系明细'!$L$5:$L$124,MATCH(P$5&amp;"/"&amp;$A7,'120组关系明细'!$A$5:$A$124,0)))</x:f>
        <x:v>未评估</x:v>
      </x:c>
      <x:c r="Q7" s="8" t="str">
        <x:f>IF(INDEX('120组关系明细'!$L$5:$L$124,MATCH(Q$5&amp;"/"&amp;$A7,'120组关系明细'!$A$5:$A$124,0))="",INDEX('120组关系明细'!$E$5:$E$124,MATCH(Q$5&amp;"/"&amp;$A7,'120组关系明细'!$A$5:$A$124,0)),INDEX('120组关系明细'!$L$5:$L$124,MATCH(Q$5&amp;"/"&amp;$A7,'120组关系明细'!$A$5:$A$124,0)))</x:f>
        <x:v>未评估</x:v>
      </x:c>
      <x:c r="R7" s="8" t="str">
        <x:f>IF(INDEX('120组关系明细'!$L$5:$L$124,MATCH(R$5&amp;"/"&amp;$A7,'120组关系明细'!$A$5:$A$124,0))="",INDEX('120组关系明细'!$E$5:$E$124,MATCH(R$5&amp;"/"&amp;$A7,'120组关系明细'!$A$5:$A$124,0)),INDEX('120组关系明细'!$L$5:$L$124,MATCH(R$5&amp;"/"&amp;$A7,'120组关系明细'!$A$5:$A$124,0)))</x:f>
        <x:v>未评估</x:v>
      </x:c>
      <x:c r="S7" s="8" t="str">
        <x:f>IF(INDEX('120组关系明细'!$L$5:$L$124,MATCH(S$5&amp;"/"&amp;$A7,'120组关系明细'!$A$5:$A$124,0))="",INDEX('120组关系明细'!$E$5:$E$124,MATCH(S$5&amp;"/"&amp;$A7,'120组关系明细'!$A$5:$A$124,0)),INDEX('120组关系明细'!$L$5:$L$124,MATCH(S$5&amp;"/"&amp;$A7,'120组关系明细'!$A$5:$A$124,0)))</x:f>
        <x:v>未评估</x:v>
      </x:c>
      <x:c r="T7" s="8" t="str">
        <x:f>IF(INDEX('120组关系明细'!$L$5:$L$124,MATCH(T$5&amp;"/"&amp;$A7,'120组关系明细'!$A$5:$A$124,0))="",INDEX('120组关系明细'!$E$5:$E$124,MATCH(T$5&amp;"/"&amp;$A7,'120组关系明细'!$A$5:$A$124,0)),INDEX('120组关系明细'!$L$5:$L$124,MATCH(T$5&amp;"/"&amp;$A7,'120组关系明细'!$A$5:$A$124,0)))</x:f>
        <x:v>未评估</x:v>
      </x:c>
      <x:c r="U7" s="8" t="str">
        <x:f>IF(INDEX('120组关系明细'!$L$5:$L$124,MATCH(U$5&amp;"/"&amp;$A7,'120组关系明细'!$A$5:$A$124,0))="",INDEX('120组关系明细'!$E$5:$E$124,MATCH(U$5&amp;"/"&amp;$A7,'120组关系明细'!$A$5:$A$124,0)),INDEX('120组关系明细'!$L$5:$L$124,MATCH(U$5&amp;"/"&amp;$A7,'120组关系明细'!$A$5:$A$124,0)))</x:f>
        <x:v>未评估</x:v>
      </x:c>
    </x:row>
    <x:row r="8" ht="26" customHeight="1">
      <x:c r="A8" s="6" t="str">
        <x:v>镜音连</x:v>
      </x:c>
      <x:c r="B8" s="8" t="n">
        <x:f>IF(INDEX('120组关系明细'!$L$5:$L$124,MATCH(B$5&amp;"/"&amp;$A8,'120组关系明细'!$A$5:$A$124,0))="",INDEX('120组关系明细'!$E$5:$E$124,MATCH(B$5&amp;"/"&amp;$A8,'120组关系明细'!$A$5:$A$124,0)),INDEX('120组关系明细'!$L$5:$L$124,MATCH(B$5&amp;"/"&amp;$A8,'120组关系明细'!$A$5:$A$124,0)))</x:f>
        <x:v>68.41666666666667</x:v>
      </x:c>
      <x:c r="C8" s="8" t="str">
        <x:f>IF(INDEX('120组关系明细'!$L$5:$L$124,MATCH(C$5&amp;"/"&amp;$A8,'120组关系明细'!$A$5:$A$124,0))="",INDEX('120组关系明细'!$E$5:$E$124,MATCH(C$5&amp;"/"&amp;$A8,'120组关系明细'!$A$5:$A$124,0)),INDEX('120组关系明细'!$L$5:$L$124,MATCH(C$5&amp;"/"&amp;$A8,'120组关系明细'!$A$5:$A$124,0)))</x:f>
        <x:v>未评估</x:v>
      </x:c>
      <x:c r="D8" s="8" t="str">
        <x:f>IF(INDEX('120组关系明细'!$L$5:$L$124,MATCH(D$5&amp;"/"&amp;$A8,'120组关系明细'!$A$5:$A$124,0))="",INDEX('120组关系明细'!$E$5:$E$124,MATCH(D$5&amp;"/"&amp;$A8,'120组关系明细'!$A$5:$A$124,0)),INDEX('120组关系明细'!$L$5:$L$124,MATCH(D$5&amp;"/"&amp;$A8,'120组关系明细'!$A$5:$A$124,0)))</x:f>
        <x:v>未评估</x:v>
      </x:c>
      <x:c r="E8" s="8" t="str">
        <x:f>IF(INDEX('120组关系明细'!$L$5:$L$124,MATCH(E$5&amp;"/"&amp;$A8,'120组关系明细'!$A$5:$A$124,0))="",INDEX('120组关系明细'!$E$5:$E$124,MATCH(E$5&amp;"/"&amp;$A8,'120组关系明细'!$A$5:$A$124,0)),INDEX('120组关系明细'!$L$5:$L$124,MATCH(E$5&amp;"/"&amp;$A8,'120组关系明细'!$A$5:$A$124,0)))</x:f>
        <x:v>未评估</x:v>
      </x:c>
      <x:c r="F8" s="8" t="str">
        <x:f>IF(INDEX('120组关系明细'!$L$5:$L$124,MATCH(F$5&amp;"/"&amp;$A8,'120组关系明细'!$A$5:$A$124,0))="",INDEX('120组关系明细'!$E$5:$E$124,MATCH(F$5&amp;"/"&amp;$A8,'120组关系明细'!$A$5:$A$124,0)),INDEX('120组关系明细'!$L$5:$L$124,MATCH(F$5&amp;"/"&amp;$A8,'120组关系明细'!$A$5:$A$124,0)))</x:f>
        <x:v>未评估</x:v>
      </x:c>
      <x:c r="G8" s="8" t="str">
        <x:f>IF(INDEX('120组关系明细'!$L$5:$L$124,MATCH(G$5&amp;"/"&amp;$A8,'120组关系明细'!$A$5:$A$124,0))="",INDEX('120组关系明细'!$E$5:$E$124,MATCH(G$5&amp;"/"&amp;$A8,'120组关系明细'!$A$5:$A$124,0)),INDEX('120组关系明细'!$L$5:$L$124,MATCH(G$5&amp;"/"&amp;$A8,'120组关系明细'!$A$5:$A$124,0)))</x:f>
        <x:v>未评估</x:v>
      </x:c>
      <x:c r="H8" s="8" t="str">
        <x:f>IF(INDEX('120组关系明细'!$L$5:$L$124,MATCH(H$5&amp;"/"&amp;$A8,'120组关系明细'!$A$5:$A$124,0))="",INDEX('120组关系明细'!$E$5:$E$124,MATCH(H$5&amp;"/"&amp;$A8,'120组关系明细'!$A$5:$A$124,0)),INDEX('120组关系明细'!$L$5:$L$124,MATCH(H$5&amp;"/"&amp;$A8,'120组关系明细'!$A$5:$A$124,0)))</x:f>
        <x:v>未评估</x:v>
      </x:c>
      <x:c r="I8" s="8" t="str">
        <x:f>IF(INDEX('120组关系明细'!$L$5:$L$124,MATCH(I$5&amp;"/"&amp;$A8,'120组关系明细'!$A$5:$A$124,0))="",INDEX('120组关系明细'!$E$5:$E$124,MATCH(I$5&amp;"/"&amp;$A8,'120组关系明细'!$A$5:$A$124,0)),INDEX('120组关系明细'!$L$5:$L$124,MATCH(I$5&amp;"/"&amp;$A8,'120组关系明细'!$A$5:$A$124,0)))</x:f>
        <x:v>未评估</x:v>
      </x:c>
      <x:c r="J8" s="8" t="str">
        <x:f>IF(INDEX('120组关系明细'!$L$5:$L$124,MATCH(J$5&amp;"/"&amp;$A8,'120组关系明细'!$A$5:$A$124,0))="",INDEX('120组关系明细'!$E$5:$E$124,MATCH(J$5&amp;"/"&amp;$A8,'120组关系明细'!$A$5:$A$124,0)),INDEX('120组关系明细'!$L$5:$L$124,MATCH(J$5&amp;"/"&amp;$A8,'120组关系明细'!$A$5:$A$124,0)))</x:f>
        <x:v>未评估</x:v>
      </x:c>
      <x:c r="K8" s="8" t="str">
        <x:f>IF(INDEX('120组关系明细'!$L$5:$L$124,MATCH(K$5&amp;"/"&amp;$A8,'120组关系明细'!$A$5:$A$124,0))="",INDEX('120组关系明细'!$E$5:$E$124,MATCH(K$5&amp;"/"&amp;$A8,'120组关系明细'!$A$5:$A$124,0)),INDEX('120组关系明细'!$L$5:$L$124,MATCH(K$5&amp;"/"&amp;$A8,'120组关系明细'!$A$5:$A$124,0)))</x:f>
        <x:v>未评估</x:v>
      </x:c>
      <x:c r="L8" s="8" t="str">
        <x:f>IF(INDEX('120组关系明细'!$L$5:$L$124,MATCH(L$5&amp;"/"&amp;$A8,'120组关系明细'!$A$5:$A$124,0))="",INDEX('120组关系明细'!$E$5:$E$124,MATCH(L$5&amp;"/"&amp;$A8,'120组关系明细'!$A$5:$A$124,0)),INDEX('120组关系明细'!$L$5:$L$124,MATCH(L$5&amp;"/"&amp;$A8,'120组关系明细'!$A$5:$A$124,0)))</x:f>
        <x:v>未评估</x:v>
      </x:c>
      <x:c r="M8" s="8" t="str">
        <x:f>IF(INDEX('120组关系明细'!$L$5:$L$124,MATCH(M$5&amp;"/"&amp;$A8,'120组关系明细'!$A$5:$A$124,0))="",INDEX('120组关系明细'!$E$5:$E$124,MATCH(M$5&amp;"/"&amp;$A8,'120组关系明细'!$A$5:$A$124,0)),INDEX('120组关系明细'!$L$5:$L$124,MATCH(M$5&amp;"/"&amp;$A8,'120组关系明细'!$A$5:$A$124,0)))</x:f>
        <x:v>未评估</x:v>
      </x:c>
      <x:c r="N8" s="8" t="str">
        <x:f>IF(INDEX('120组关系明细'!$L$5:$L$124,MATCH(N$5&amp;"/"&amp;$A8,'120组关系明细'!$A$5:$A$124,0))="",INDEX('120组关系明细'!$E$5:$E$124,MATCH(N$5&amp;"/"&amp;$A8,'120组关系明细'!$A$5:$A$124,0)),INDEX('120组关系明细'!$L$5:$L$124,MATCH(N$5&amp;"/"&amp;$A8,'120组关系明细'!$A$5:$A$124,0)))</x:f>
        <x:v>未评估</x:v>
      </x:c>
      <x:c r="O8" s="8" t="str">
        <x:f>IF(INDEX('120组关系明细'!$L$5:$L$124,MATCH(O$5&amp;"/"&amp;$A8,'120组关系明细'!$A$5:$A$124,0))="",INDEX('120组关系明细'!$E$5:$E$124,MATCH(O$5&amp;"/"&amp;$A8,'120组关系明细'!$A$5:$A$124,0)),INDEX('120组关系明细'!$L$5:$L$124,MATCH(O$5&amp;"/"&amp;$A8,'120组关系明细'!$A$5:$A$124,0)))</x:f>
        <x:v>未评估</x:v>
      </x:c>
      <x:c r="P8" s="8" t="str">
        <x:f>IF(INDEX('120组关系明细'!$L$5:$L$124,MATCH(P$5&amp;"/"&amp;$A8,'120组关系明细'!$A$5:$A$124,0))="",INDEX('120组关系明细'!$E$5:$E$124,MATCH(P$5&amp;"/"&amp;$A8,'120组关系明细'!$A$5:$A$124,0)),INDEX('120组关系明细'!$L$5:$L$124,MATCH(P$5&amp;"/"&amp;$A8,'120组关系明细'!$A$5:$A$124,0)))</x:f>
        <x:v>未评估</x:v>
      </x:c>
      <x:c r="Q8" s="8" t="str">
        <x:f>IF(INDEX('120组关系明细'!$L$5:$L$124,MATCH(Q$5&amp;"/"&amp;$A8,'120组关系明细'!$A$5:$A$124,0))="",INDEX('120组关系明细'!$E$5:$E$124,MATCH(Q$5&amp;"/"&amp;$A8,'120组关系明细'!$A$5:$A$124,0)),INDEX('120组关系明细'!$L$5:$L$124,MATCH(Q$5&amp;"/"&amp;$A8,'120组关系明细'!$A$5:$A$124,0)))</x:f>
        <x:v>未评估</x:v>
      </x:c>
      <x:c r="R8" s="8" t="str">
        <x:f>IF(INDEX('120组关系明细'!$L$5:$L$124,MATCH(R$5&amp;"/"&amp;$A8,'120组关系明细'!$A$5:$A$124,0))="",INDEX('120组关系明细'!$E$5:$E$124,MATCH(R$5&amp;"/"&amp;$A8,'120组关系明细'!$A$5:$A$124,0)),INDEX('120组关系明细'!$L$5:$L$124,MATCH(R$5&amp;"/"&amp;$A8,'120组关系明细'!$A$5:$A$124,0)))</x:f>
        <x:v>未评估</x:v>
      </x:c>
      <x:c r="S8" s="8" t="str">
        <x:f>IF(INDEX('120组关系明细'!$L$5:$L$124,MATCH(S$5&amp;"/"&amp;$A8,'120组关系明细'!$A$5:$A$124,0))="",INDEX('120组关系明细'!$E$5:$E$124,MATCH(S$5&amp;"/"&amp;$A8,'120组关系明细'!$A$5:$A$124,0)),INDEX('120组关系明细'!$L$5:$L$124,MATCH(S$5&amp;"/"&amp;$A8,'120组关系明细'!$A$5:$A$124,0)))</x:f>
        <x:v>未评估</x:v>
      </x:c>
      <x:c r="T8" s="8" t="str">
        <x:f>IF(INDEX('120组关系明细'!$L$5:$L$124,MATCH(T$5&amp;"/"&amp;$A8,'120组关系明细'!$A$5:$A$124,0))="",INDEX('120组关系明细'!$E$5:$E$124,MATCH(T$5&amp;"/"&amp;$A8,'120组关系明细'!$A$5:$A$124,0)),INDEX('120组关系明细'!$L$5:$L$124,MATCH(T$5&amp;"/"&amp;$A8,'120组关系明细'!$A$5:$A$124,0)))</x:f>
        <x:v>未评估</x:v>
      </x:c>
      <x:c r="U8" s="8" t="str">
        <x:f>IF(INDEX('120组关系明细'!$L$5:$L$124,MATCH(U$5&amp;"/"&amp;$A8,'120组关系明细'!$A$5:$A$124,0))="",INDEX('120组关系明细'!$E$5:$E$124,MATCH(U$5&amp;"/"&amp;$A8,'120组关系明细'!$A$5:$A$124,0)),INDEX('120组关系明细'!$L$5:$L$124,MATCH(U$5&amp;"/"&amp;$A8,'120组关系明细'!$A$5:$A$124,0)))</x:f>
        <x:v>未评估</x:v>
      </x:c>
    </x:row>
    <x:row r="9" ht="26" customHeight="1">
      <x:c r="A9" s="6" t="str">
        <x:v>巡音流歌</x:v>
      </x:c>
      <x:c r="B9" s="8" t="n">
        <x:f>IF(INDEX('120组关系明细'!$L$5:$L$124,MATCH(B$5&amp;"/"&amp;$A9,'120组关系明细'!$A$5:$A$124,0))="",INDEX('120组关系明细'!$E$5:$E$124,MATCH(B$5&amp;"/"&amp;$A9,'120组关系明细'!$A$5:$A$124,0)),INDEX('120组关系明细'!$L$5:$L$124,MATCH(B$5&amp;"/"&amp;$A9,'120组关系明细'!$A$5:$A$124,0)))</x:f>
        <x:v>77.66666666666667</x:v>
      </x:c>
      <x:c r="C9" s="8" t="str">
        <x:f>IF(INDEX('120组关系明细'!$L$5:$L$124,MATCH(C$5&amp;"/"&amp;$A9,'120组关系明细'!$A$5:$A$124,0))="",INDEX('120组关系明细'!$E$5:$E$124,MATCH(C$5&amp;"/"&amp;$A9,'120组关系明细'!$A$5:$A$124,0)),INDEX('120组关系明细'!$L$5:$L$124,MATCH(C$5&amp;"/"&amp;$A9,'120组关系明细'!$A$5:$A$124,0)))</x:f>
        <x:v>未评估</x:v>
      </x:c>
      <x:c r="D9" s="8" t="str">
        <x:f>IF(INDEX('120组关系明细'!$L$5:$L$124,MATCH(D$5&amp;"/"&amp;$A9,'120组关系明细'!$A$5:$A$124,0))="",INDEX('120组关系明细'!$E$5:$E$124,MATCH(D$5&amp;"/"&amp;$A9,'120组关系明细'!$A$5:$A$124,0)),INDEX('120组关系明细'!$L$5:$L$124,MATCH(D$5&amp;"/"&amp;$A9,'120组关系明细'!$A$5:$A$124,0)))</x:f>
        <x:v>未评估</x:v>
      </x:c>
      <x:c r="E9" s="8" t="str">
        <x:f>IF(INDEX('120组关系明细'!$L$5:$L$124,MATCH(E$5&amp;"/"&amp;$A9,'120组关系明细'!$A$5:$A$124,0))="",INDEX('120组关系明细'!$E$5:$E$124,MATCH(E$5&amp;"/"&amp;$A9,'120组关系明细'!$A$5:$A$124,0)),INDEX('120组关系明细'!$L$5:$L$124,MATCH(E$5&amp;"/"&amp;$A9,'120组关系明细'!$A$5:$A$124,0)))</x:f>
        <x:v>未评估</x:v>
      </x:c>
      <x:c r="F9" s="8" t="str">
        <x:f>IF(INDEX('120组关系明细'!$L$5:$L$124,MATCH(F$5&amp;"/"&amp;$A9,'120组关系明细'!$A$5:$A$124,0))="",INDEX('120组关系明细'!$E$5:$E$124,MATCH(F$5&amp;"/"&amp;$A9,'120组关系明细'!$A$5:$A$124,0)),INDEX('120组关系明细'!$L$5:$L$124,MATCH(F$5&amp;"/"&amp;$A9,'120组关系明细'!$A$5:$A$124,0)))</x:f>
        <x:v>未评估</x:v>
      </x:c>
      <x:c r="G9" s="8" t="str">
        <x:f>IF(INDEX('120组关系明细'!$L$5:$L$124,MATCH(G$5&amp;"/"&amp;$A9,'120组关系明细'!$A$5:$A$124,0))="",INDEX('120组关系明细'!$E$5:$E$124,MATCH(G$5&amp;"/"&amp;$A9,'120组关系明细'!$A$5:$A$124,0)),INDEX('120组关系明细'!$L$5:$L$124,MATCH(G$5&amp;"/"&amp;$A9,'120组关系明细'!$A$5:$A$124,0)))</x:f>
        <x:v>未评估</x:v>
      </x:c>
      <x:c r="H9" s="8" t="str">
        <x:f>IF(INDEX('120组关系明细'!$L$5:$L$124,MATCH(H$5&amp;"/"&amp;$A9,'120组关系明细'!$A$5:$A$124,0))="",INDEX('120组关系明细'!$E$5:$E$124,MATCH(H$5&amp;"/"&amp;$A9,'120组关系明细'!$A$5:$A$124,0)),INDEX('120组关系明细'!$L$5:$L$124,MATCH(H$5&amp;"/"&amp;$A9,'120组关系明细'!$A$5:$A$124,0)))</x:f>
        <x:v>未评估</x:v>
      </x:c>
      <x:c r="I9" s="8" t="str">
        <x:f>IF(INDEX('120组关系明细'!$L$5:$L$124,MATCH(I$5&amp;"/"&amp;$A9,'120组关系明细'!$A$5:$A$124,0))="",INDEX('120组关系明细'!$E$5:$E$124,MATCH(I$5&amp;"/"&amp;$A9,'120组关系明细'!$A$5:$A$124,0)),INDEX('120组关系明细'!$L$5:$L$124,MATCH(I$5&amp;"/"&amp;$A9,'120组关系明细'!$A$5:$A$124,0)))</x:f>
        <x:v>未评估</x:v>
      </x:c>
      <x:c r="J9" s="8" t="str">
        <x:f>IF(INDEX('120组关系明细'!$L$5:$L$124,MATCH(J$5&amp;"/"&amp;$A9,'120组关系明细'!$A$5:$A$124,0))="",INDEX('120组关系明细'!$E$5:$E$124,MATCH(J$5&amp;"/"&amp;$A9,'120组关系明细'!$A$5:$A$124,0)),INDEX('120组关系明细'!$L$5:$L$124,MATCH(J$5&amp;"/"&amp;$A9,'120组关系明细'!$A$5:$A$124,0)))</x:f>
        <x:v>未评估</x:v>
      </x:c>
      <x:c r="K9" s="8" t="str">
        <x:f>IF(INDEX('120组关系明细'!$L$5:$L$124,MATCH(K$5&amp;"/"&amp;$A9,'120组关系明细'!$A$5:$A$124,0))="",INDEX('120组关系明细'!$E$5:$E$124,MATCH(K$5&amp;"/"&amp;$A9,'120组关系明细'!$A$5:$A$124,0)),INDEX('120组关系明细'!$L$5:$L$124,MATCH(K$5&amp;"/"&amp;$A9,'120组关系明细'!$A$5:$A$124,0)))</x:f>
        <x:v>未评估</x:v>
      </x:c>
      <x:c r="L9" s="8" t="str">
        <x:f>IF(INDEX('120组关系明细'!$L$5:$L$124,MATCH(L$5&amp;"/"&amp;$A9,'120组关系明细'!$A$5:$A$124,0))="",INDEX('120组关系明细'!$E$5:$E$124,MATCH(L$5&amp;"/"&amp;$A9,'120组关系明细'!$A$5:$A$124,0)),INDEX('120组关系明细'!$L$5:$L$124,MATCH(L$5&amp;"/"&amp;$A9,'120组关系明细'!$A$5:$A$124,0)))</x:f>
        <x:v>未评估</x:v>
      </x:c>
      <x:c r="M9" s="8" t="str">
        <x:f>IF(INDEX('120组关系明细'!$L$5:$L$124,MATCH(M$5&amp;"/"&amp;$A9,'120组关系明细'!$A$5:$A$124,0))="",INDEX('120组关系明细'!$E$5:$E$124,MATCH(M$5&amp;"/"&amp;$A9,'120组关系明细'!$A$5:$A$124,0)),INDEX('120组关系明细'!$L$5:$L$124,MATCH(M$5&amp;"/"&amp;$A9,'120组关系明细'!$A$5:$A$124,0)))</x:f>
        <x:v>未评估</x:v>
      </x:c>
      <x:c r="N9" s="8" t="str">
        <x:f>IF(INDEX('120组关系明细'!$L$5:$L$124,MATCH(N$5&amp;"/"&amp;$A9,'120组关系明细'!$A$5:$A$124,0))="",INDEX('120组关系明细'!$E$5:$E$124,MATCH(N$5&amp;"/"&amp;$A9,'120组关系明细'!$A$5:$A$124,0)),INDEX('120组关系明细'!$L$5:$L$124,MATCH(N$5&amp;"/"&amp;$A9,'120组关系明细'!$A$5:$A$124,0)))</x:f>
        <x:v>未评估</x:v>
      </x:c>
      <x:c r="O9" s="8" t="str">
        <x:f>IF(INDEX('120组关系明细'!$L$5:$L$124,MATCH(O$5&amp;"/"&amp;$A9,'120组关系明细'!$A$5:$A$124,0))="",INDEX('120组关系明细'!$E$5:$E$124,MATCH(O$5&amp;"/"&amp;$A9,'120组关系明细'!$A$5:$A$124,0)),INDEX('120组关系明细'!$L$5:$L$124,MATCH(O$5&amp;"/"&amp;$A9,'120组关系明细'!$A$5:$A$124,0)))</x:f>
        <x:v>未评估</x:v>
      </x:c>
      <x:c r="P9" s="8" t="str">
        <x:f>IF(INDEX('120组关系明细'!$L$5:$L$124,MATCH(P$5&amp;"/"&amp;$A9,'120组关系明细'!$A$5:$A$124,0))="",INDEX('120组关系明细'!$E$5:$E$124,MATCH(P$5&amp;"/"&amp;$A9,'120组关系明细'!$A$5:$A$124,0)),INDEX('120组关系明细'!$L$5:$L$124,MATCH(P$5&amp;"/"&amp;$A9,'120组关系明细'!$A$5:$A$124,0)))</x:f>
        <x:v>未评估</x:v>
      </x:c>
      <x:c r="Q9" s="8" t="str">
        <x:f>IF(INDEX('120组关系明细'!$L$5:$L$124,MATCH(Q$5&amp;"/"&amp;$A9,'120组关系明细'!$A$5:$A$124,0))="",INDEX('120组关系明细'!$E$5:$E$124,MATCH(Q$5&amp;"/"&amp;$A9,'120组关系明细'!$A$5:$A$124,0)),INDEX('120组关系明细'!$L$5:$L$124,MATCH(Q$5&amp;"/"&amp;$A9,'120组关系明细'!$A$5:$A$124,0)))</x:f>
        <x:v>未评估</x:v>
      </x:c>
      <x:c r="R9" s="8" t="str">
        <x:f>IF(INDEX('120组关系明细'!$L$5:$L$124,MATCH(R$5&amp;"/"&amp;$A9,'120组关系明细'!$A$5:$A$124,0))="",INDEX('120组关系明细'!$E$5:$E$124,MATCH(R$5&amp;"/"&amp;$A9,'120组关系明细'!$A$5:$A$124,0)),INDEX('120组关系明细'!$L$5:$L$124,MATCH(R$5&amp;"/"&amp;$A9,'120组关系明细'!$A$5:$A$124,0)))</x:f>
        <x:v>未评估</x:v>
      </x:c>
      <x:c r="S9" s="8" t="str">
        <x:f>IF(INDEX('120组关系明细'!$L$5:$L$124,MATCH(S$5&amp;"/"&amp;$A9,'120组关系明细'!$A$5:$A$124,0))="",INDEX('120组关系明细'!$E$5:$E$124,MATCH(S$5&amp;"/"&amp;$A9,'120组关系明细'!$A$5:$A$124,0)),INDEX('120组关系明细'!$L$5:$L$124,MATCH(S$5&amp;"/"&amp;$A9,'120组关系明细'!$A$5:$A$124,0)))</x:f>
        <x:v>未评估</x:v>
      </x:c>
      <x:c r="T9" s="8" t="str">
        <x:f>IF(INDEX('120组关系明细'!$L$5:$L$124,MATCH(T$5&amp;"/"&amp;$A9,'120组关系明细'!$A$5:$A$124,0))="",INDEX('120组关系明细'!$E$5:$E$124,MATCH(T$5&amp;"/"&amp;$A9,'120组关系明细'!$A$5:$A$124,0)),INDEX('120组关系明细'!$L$5:$L$124,MATCH(T$5&amp;"/"&amp;$A9,'120组关系明细'!$A$5:$A$124,0)))</x:f>
        <x:v>未评估</x:v>
      </x:c>
      <x:c r="U9" s="8" t="str">
        <x:f>IF(INDEX('120组关系明细'!$L$5:$L$124,MATCH(U$5&amp;"/"&amp;$A9,'120组关系明细'!$A$5:$A$124,0))="",INDEX('120组关系明细'!$E$5:$E$124,MATCH(U$5&amp;"/"&amp;$A9,'120组关系明细'!$A$5:$A$124,0)),INDEX('120组关系明细'!$L$5:$L$124,MATCH(U$5&amp;"/"&amp;$A9,'120组关系明细'!$A$5:$A$124,0)))</x:f>
        <x:v>未评估</x:v>
      </x:c>
    </x:row>
    <x:row r="10" ht="26" customHeight="1">
      <x:c r="A10" s="6" t="str">
        <x:v>MEIKO</x:v>
      </x:c>
      <x:c r="B10" s="8" t="n">
        <x:f>IF(INDEX('120组关系明细'!$L$5:$L$124,MATCH(B$5&amp;"/"&amp;$A10,'120组关系明细'!$A$5:$A$124,0))="",INDEX('120组关系明细'!$E$5:$E$124,MATCH(B$5&amp;"/"&amp;$A10,'120组关系明细'!$A$5:$A$124,0)),INDEX('120组关系明细'!$L$5:$L$124,MATCH(B$5&amp;"/"&amp;$A10,'120组关系明细'!$A$5:$A$124,0)))</x:f>
        <x:v>74.66666666666667</x:v>
      </x:c>
      <x:c r="C10" s="8" t="str">
        <x:f>IF(INDEX('120组关系明细'!$L$5:$L$124,MATCH(C$5&amp;"/"&amp;$A10,'120组关系明细'!$A$5:$A$124,0))="",INDEX('120组关系明细'!$E$5:$E$124,MATCH(C$5&amp;"/"&amp;$A10,'120组关系明细'!$A$5:$A$124,0)),INDEX('120组关系明细'!$L$5:$L$124,MATCH(C$5&amp;"/"&amp;$A10,'120组关系明细'!$A$5:$A$124,0)))</x:f>
        <x:v>未评估</x:v>
      </x:c>
      <x:c r="D10" s="8" t="str">
        <x:f>IF(INDEX('120组关系明细'!$L$5:$L$124,MATCH(D$5&amp;"/"&amp;$A10,'120组关系明细'!$A$5:$A$124,0))="",INDEX('120组关系明细'!$E$5:$E$124,MATCH(D$5&amp;"/"&amp;$A10,'120组关系明细'!$A$5:$A$124,0)),INDEX('120组关系明细'!$L$5:$L$124,MATCH(D$5&amp;"/"&amp;$A10,'120组关系明细'!$A$5:$A$124,0)))</x:f>
        <x:v>未评估</x:v>
      </x:c>
      <x:c r="E10" s="8" t="str">
        <x:f>IF(INDEX('120组关系明细'!$L$5:$L$124,MATCH(E$5&amp;"/"&amp;$A10,'120组关系明细'!$A$5:$A$124,0))="",INDEX('120组关系明细'!$E$5:$E$124,MATCH(E$5&amp;"/"&amp;$A10,'120组关系明细'!$A$5:$A$124,0)),INDEX('120组关系明细'!$L$5:$L$124,MATCH(E$5&amp;"/"&amp;$A10,'120组关系明细'!$A$5:$A$124,0)))</x:f>
        <x:v>未评估</x:v>
      </x:c>
      <x:c r="F10" s="8" t="str">
        <x:f>IF(INDEX('120组关系明细'!$L$5:$L$124,MATCH(F$5&amp;"/"&amp;$A10,'120组关系明细'!$A$5:$A$124,0))="",INDEX('120组关系明细'!$E$5:$E$124,MATCH(F$5&amp;"/"&amp;$A10,'120组关系明细'!$A$5:$A$124,0)),INDEX('120组关系明细'!$L$5:$L$124,MATCH(F$5&amp;"/"&amp;$A10,'120组关系明细'!$A$5:$A$124,0)))</x:f>
        <x:v>未评估</x:v>
      </x:c>
      <x:c r="G10" s="8" t="str">
        <x:f>IF(INDEX('120组关系明细'!$L$5:$L$124,MATCH(G$5&amp;"/"&amp;$A10,'120组关系明细'!$A$5:$A$124,0))="",INDEX('120组关系明细'!$E$5:$E$124,MATCH(G$5&amp;"/"&amp;$A10,'120组关系明细'!$A$5:$A$124,0)),INDEX('120组关系明细'!$L$5:$L$124,MATCH(G$5&amp;"/"&amp;$A10,'120组关系明细'!$A$5:$A$124,0)))</x:f>
        <x:v>未评估</x:v>
      </x:c>
      <x:c r="H10" s="8" t="str">
        <x:f>IF(INDEX('120组关系明细'!$L$5:$L$124,MATCH(H$5&amp;"/"&amp;$A10,'120组关系明细'!$A$5:$A$124,0))="",INDEX('120组关系明细'!$E$5:$E$124,MATCH(H$5&amp;"/"&amp;$A10,'120组关系明细'!$A$5:$A$124,0)),INDEX('120组关系明细'!$L$5:$L$124,MATCH(H$5&amp;"/"&amp;$A10,'120组关系明细'!$A$5:$A$124,0)))</x:f>
        <x:v>未评估</x:v>
      </x:c>
      <x:c r="I10" s="8" t="str">
        <x:f>IF(INDEX('120组关系明细'!$L$5:$L$124,MATCH(I$5&amp;"/"&amp;$A10,'120组关系明细'!$A$5:$A$124,0))="",INDEX('120组关系明细'!$E$5:$E$124,MATCH(I$5&amp;"/"&amp;$A10,'120组关系明细'!$A$5:$A$124,0)),INDEX('120组关系明细'!$L$5:$L$124,MATCH(I$5&amp;"/"&amp;$A10,'120组关系明细'!$A$5:$A$124,0)))</x:f>
        <x:v>未评估</x:v>
      </x:c>
      <x:c r="J10" s="8" t="str">
        <x:f>IF(INDEX('120组关系明细'!$L$5:$L$124,MATCH(J$5&amp;"/"&amp;$A10,'120组关系明细'!$A$5:$A$124,0))="",INDEX('120组关系明细'!$E$5:$E$124,MATCH(J$5&amp;"/"&amp;$A10,'120组关系明细'!$A$5:$A$124,0)),INDEX('120组关系明细'!$L$5:$L$124,MATCH(J$5&amp;"/"&amp;$A10,'120组关系明细'!$A$5:$A$124,0)))</x:f>
        <x:v>未评估</x:v>
      </x:c>
      <x:c r="K10" s="8" t="str">
        <x:f>IF(INDEX('120组关系明细'!$L$5:$L$124,MATCH(K$5&amp;"/"&amp;$A10,'120组关系明细'!$A$5:$A$124,0))="",INDEX('120组关系明细'!$E$5:$E$124,MATCH(K$5&amp;"/"&amp;$A10,'120组关系明细'!$A$5:$A$124,0)),INDEX('120组关系明细'!$L$5:$L$124,MATCH(K$5&amp;"/"&amp;$A10,'120组关系明细'!$A$5:$A$124,0)))</x:f>
        <x:v>未评估</x:v>
      </x:c>
      <x:c r="L10" s="8" t="str">
        <x:f>IF(INDEX('120组关系明细'!$L$5:$L$124,MATCH(L$5&amp;"/"&amp;$A10,'120组关系明细'!$A$5:$A$124,0))="",INDEX('120组关系明细'!$E$5:$E$124,MATCH(L$5&amp;"/"&amp;$A10,'120组关系明细'!$A$5:$A$124,0)),INDEX('120组关系明细'!$L$5:$L$124,MATCH(L$5&amp;"/"&amp;$A10,'120组关系明细'!$A$5:$A$124,0)))</x:f>
        <x:v>未评估</x:v>
      </x:c>
      <x:c r="M10" s="8" t="str">
        <x:f>IF(INDEX('120组关系明细'!$L$5:$L$124,MATCH(M$5&amp;"/"&amp;$A10,'120组关系明细'!$A$5:$A$124,0))="",INDEX('120组关系明细'!$E$5:$E$124,MATCH(M$5&amp;"/"&amp;$A10,'120组关系明细'!$A$5:$A$124,0)),INDEX('120组关系明细'!$L$5:$L$124,MATCH(M$5&amp;"/"&amp;$A10,'120组关系明细'!$A$5:$A$124,0)))</x:f>
        <x:v>未评估</x:v>
      </x:c>
      <x:c r="N10" s="8" t="str">
        <x:f>IF(INDEX('120组关系明细'!$L$5:$L$124,MATCH(N$5&amp;"/"&amp;$A10,'120组关系明细'!$A$5:$A$124,0))="",INDEX('120组关系明细'!$E$5:$E$124,MATCH(N$5&amp;"/"&amp;$A10,'120组关系明细'!$A$5:$A$124,0)),INDEX('120组关系明细'!$L$5:$L$124,MATCH(N$5&amp;"/"&amp;$A10,'120组关系明细'!$A$5:$A$124,0)))</x:f>
        <x:v>未评估</x:v>
      </x:c>
      <x:c r="O10" s="8" t="str">
        <x:f>IF(INDEX('120组关系明细'!$L$5:$L$124,MATCH(O$5&amp;"/"&amp;$A10,'120组关系明细'!$A$5:$A$124,0))="",INDEX('120组关系明细'!$E$5:$E$124,MATCH(O$5&amp;"/"&amp;$A10,'120组关系明细'!$A$5:$A$124,0)),INDEX('120组关系明细'!$L$5:$L$124,MATCH(O$5&amp;"/"&amp;$A10,'120组关系明细'!$A$5:$A$124,0)))</x:f>
        <x:v>未评估</x:v>
      </x:c>
      <x:c r="P10" s="8" t="str">
        <x:f>IF(INDEX('120组关系明细'!$L$5:$L$124,MATCH(P$5&amp;"/"&amp;$A10,'120组关系明细'!$A$5:$A$124,0))="",INDEX('120组关系明细'!$E$5:$E$124,MATCH(P$5&amp;"/"&amp;$A10,'120组关系明细'!$A$5:$A$124,0)),INDEX('120组关系明细'!$L$5:$L$124,MATCH(P$5&amp;"/"&amp;$A10,'120组关系明细'!$A$5:$A$124,0)))</x:f>
        <x:v>未评估</x:v>
      </x:c>
      <x:c r="Q10" s="8" t="str">
        <x:f>IF(INDEX('120组关系明细'!$L$5:$L$124,MATCH(Q$5&amp;"/"&amp;$A10,'120组关系明细'!$A$5:$A$124,0))="",INDEX('120组关系明细'!$E$5:$E$124,MATCH(Q$5&amp;"/"&amp;$A10,'120组关系明细'!$A$5:$A$124,0)),INDEX('120组关系明细'!$L$5:$L$124,MATCH(Q$5&amp;"/"&amp;$A10,'120组关系明细'!$A$5:$A$124,0)))</x:f>
        <x:v>未评估</x:v>
      </x:c>
      <x:c r="R10" s="8" t="str">
        <x:f>IF(INDEX('120组关系明细'!$L$5:$L$124,MATCH(R$5&amp;"/"&amp;$A10,'120组关系明细'!$A$5:$A$124,0))="",INDEX('120组关系明细'!$E$5:$E$124,MATCH(R$5&amp;"/"&amp;$A10,'120组关系明细'!$A$5:$A$124,0)),INDEX('120组关系明细'!$L$5:$L$124,MATCH(R$5&amp;"/"&amp;$A10,'120组关系明细'!$A$5:$A$124,0)))</x:f>
        <x:v>未评估</x:v>
      </x:c>
      <x:c r="S10" s="8" t="str">
        <x:f>IF(INDEX('120组关系明细'!$L$5:$L$124,MATCH(S$5&amp;"/"&amp;$A10,'120组关系明细'!$A$5:$A$124,0))="",INDEX('120组关系明细'!$E$5:$E$124,MATCH(S$5&amp;"/"&amp;$A10,'120组关系明细'!$A$5:$A$124,0)),INDEX('120组关系明细'!$L$5:$L$124,MATCH(S$5&amp;"/"&amp;$A10,'120组关系明细'!$A$5:$A$124,0)))</x:f>
        <x:v>未评估</x:v>
      </x:c>
      <x:c r="T10" s="8" t="str">
        <x:f>IF(INDEX('120组关系明细'!$L$5:$L$124,MATCH(T$5&amp;"/"&amp;$A10,'120组关系明细'!$A$5:$A$124,0))="",INDEX('120组关系明细'!$E$5:$E$124,MATCH(T$5&amp;"/"&amp;$A10,'120组关系明细'!$A$5:$A$124,0)),INDEX('120组关系明细'!$L$5:$L$124,MATCH(T$5&amp;"/"&amp;$A10,'120组关系明细'!$A$5:$A$124,0)))</x:f>
        <x:v>未评估</x:v>
      </x:c>
      <x:c r="U10" s="8" t="str">
        <x:f>IF(INDEX('120组关系明细'!$L$5:$L$124,MATCH(U$5&amp;"/"&amp;$A10,'120组关系明细'!$A$5:$A$124,0))="",INDEX('120组关系明细'!$E$5:$E$124,MATCH(U$5&amp;"/"&amp;$A10,'120组关系明细'!$A$5:$A$124,0)),INDEX('120组关系明细'!$L$5:$L$124,MATCH(U$5&amp;"/"&amp;$A10,'120组关系明细'!$A$5:$A$124,0)))</x:f>
        <x:v>未评估</x:v>
      </x:c>
    </x:row>
    <x:row r="11" ht="26" customHeight="1">
      <x:c r="A11" s="6" t="str">
        <x:v>KAITO</x:v>
      </x:c>
      <x:c r="B11" s="8" t="n">
        <x:f>IF(INDEX('120组关系明细'!$L$5:$L$124,MATCH(B$5&amp;"/"&amp;$A11,'120组关系明细'!$A$5:$A$124,0))="",INDEX('120组关系明细'!$E$5:$E$124,MATCH(B$5&amp;"/"&amp;$A11,'120组关系明细'!$A$5:$A$124,0)),INDEX('120组关系明细'!$L$5:$L$124,MATCH(B$5&amp;"/"&amp;$A11,'120组关系明细'!$A$5:$A$124,0)))</x:f>
        <x:v>77.66666666666667</x:v>
      </x:c>
      <x:c r="C11" s="8" t="str">
        <x:f>IF(INDEX('120组关系明细'!$L$5:$L$124,MATCH(C$5&amp;"/"&amp;$A11,'120组关系明细'!$A$5:$A$124,0))="",INDEX('120组关系明细'!$E$5:$E$124,MATCH(C$5&amp;"/"&amp;$A11,'120组关系明细'!$A$5:$A$124,0)),INDEX('120组关系明细'!$L$5:$L$124,MATCH(C$5&amp;"/"&amp;$A11,'120组关系明细'!$A$5:$A$124,0)))</x:f>
        <x:v>未评估</x:v>
      </x:c>
      <x:c r="D11" s="8" t="str">
        <x:f>IF(INDEX('120组关系明细'!$L$5:$L$124,MATCH(D$5&amp;"/"&amp;$A11,'120组关系明细'!$A$5:$A$124,0))="",INDEX('120组关系明细'!$E$5:$E$124,MATCH(D$5&amp;"/"&amp;$A11,'120组关系明细'!$A$5:$A$124,0)),INDEX('120组关系明细'!$L$5:$L$124,MATCH(D$5&amp;"/"&amp;$A11,'120组关系明细'!$A$5:$A$124,0)))</x:f>
        <x:v>未评估</x:v>
      </x:c>
      <x:c r="E11" s="8" t="str">
        <x:f>IF(INDEX('120组关系明细'!$L$5:$L$124,MATCH(E$5&amp;"/"&amp;$A11,'120组关系明细'!$A$5:$A$124,0))="",INDEX('120组关系明细'!$E$5:$E$124,MATCH(E$5&amp;"/"&amp;$A11,'120组关系明细'!$A$5:$A$124,0)),INDEX('120组关系明细'!$L$5:$L$124,MATCH(E$5&amp;"/"&amp;$A11,'120组关系明细'!$A$5:$A$124,0)))</x:f>
        <x:v>未评估</x:v>
      </x:c>
      <x:c r="F11" s="8" t="str">
        <x:f>IF(INDEX('120组关系明细'!$L$5:$L$124,MATCH(F$5&amp;"/"&amp;$A11,'120组关系明细'!$A$5:$A$124,0))="",INDEX('120组关系明细'!$E$5:$E$124,MATCH(F$5&amp;"/"&amp;$A11,'120组关系明细'!$A$5:$A$124,0)),INDEX('120组关系明细'!$L$5:$L$124,MATCH(F$5&amp;"/"&amp;$A11,'120组关系明细'!$A$5:$A$124,0)))</x:f>
        <x:v>未评估</x:v>
      </x:c>
      <x:c r="G11" s="8" t="str">
        <x:f>IF(INDEX('120组关系明细'!$L$5:$L$124,MATCH(G$5&amp;"/"&amp;$A11,'120组关系明细'!$A$5:$A$124,0))="",INDEX('120组关系明细'!$E$5:$E$124,MATCH(G$5&amp;"/"&amp;$A11,'120组关系明细'!$A$5:$A$124,0)),INDEX('120组关系明细'!$L$5:$L$124,MATCH(G$5&amp;"/"&amp;$A11,'120组关系明细'!$A$5:$A$124,0)))</x:f>
        <x:v>未评估</x:v>
      </x:c>
      <x:c r="H11" s="8" t="str">
        <x:f>IF(INDEX('120组关系明细'!$L$5:$L$124,MATCH(H$5&amp;"/"&amp;$A11,'120组关系明细'!$A$5:$A$124,0))="",INDEX('120组关系明细'!$E$5:$E$124,MATCH(H$5&amp;"/"&amp;$A11,'120组关系明细'!$A$5:$A$124,0)),INDEX('120组关系明细'!$L$5:$L$124,MATCH(H$5&amp;"/"&amp;$A11,'120组关系明细'!$A$5:$A$124,0)))</x:f>
        <x:v>未评估</x:v>
      </x:c>
      <x:c r="I11" s="8" t="str">
        <x:f>IF(INDEX('120组关系明细'!$L$5:$L$124,MATCH(I$5&amp;"/"&amp;$A11,'120组关系明细'!$A$5:$A$124,0))="",INDEX('120组关系明细'!$E$5:$E$124,MATCH(I$5&amp;"/"&amp;$A11,'120组关系明细'!$A$5:$A$124,0)),INDEX('120组关系明细'!$L$5:$L$124,MATCH(I$5&amp;"/"&amp;$A11,'120组关系明细'!$A$5:$A$124,0)))</x:f>
        <x:v>未评估</x:v>
      </x:c>
      <x:c r="J11" s="8" t="str">
        <x:f>IF(INDEX('120组关系明细'!$L$5:$L$124,MATCH(J$5&amp;"/"&amp;$A11,'120组关系明细'!$A$5:$A$124,0))="",INDEX('120组关系明细'!$E$5:$E$124,MATCH(J$5&amp;"/"&amp;$A11,'120组关系明细'!$A$5:$A$124,0)),INDEX('120组关系明细'!$L$5:$L$124,MATCH(J$5&amp;"/"&amp;$A11,'120组关系明细'!$A$5:$A$124,0)))</x:f>
        <x:v>未评估</x:v>
      </x:c>
      <x:c r="K11" s="8" t="str">
        <x:f>IF(INDEX('120组关系明细'!$L$5:$L$124,MATCH(K$5&amp;"/"&amp;$A11,'120组关系明细'!$A$5:$A$124,0))="",INDEX('120组关系明细'!$E$5:$E$124,MATCH(K$5&amp;"/"&amp;$A11,'120组关系明细'!$A$5:$A$124,0)),INDEX('120组关系明细'!$L$5:$L$124,MATCH(K$5&amp;"/"&amp;$A11,'120组关系明细'!$A$5:$A$124,0)))</x:f>
        <x:v>未评估</x:v>
      </x:c>
      <x:c r="L11" s="8" t="str">
        <x:f>IF(INDEX('120组关系明细'!$L$5:$L$124,MATCH(L$5&amp;"/"&amp;$A11,'120组关系明细'!$A$5:$A$124,0))="",INDEX('120组关系明细'!$E$5:$E$124,MATCH(L$5&amp;"/"&amp;$A11,'120组关系明细'!$A$5:$A$124,0)),INDEX('120组关系明细'!$L$5:$L$124,MATCH(L$5&amp;"/"&amp;$A11,'120组关系明细'!$A$5:$A$124,0)))</x:f>
        <x:v>未评估</x:v>
      </x:c>
      <x:c r="M11" s="8" t="str">
        <x:f>IF(INDEX('120组关系明细'!$L$5:$L$124,MATCH(M$5&amp;"/"&amp;$A11,'120组关系明细'!$A$5:$A$124,0))="",INDEX('120组关系明细'!$E$5:$E$124,MATCH(M$5&amp;"/"&amp;$A11,'120组关系明细'!$A$5:$A$124,0)),INDEX('120组关系明细'!$L$5:$L$124,MATCH(M$5&amp;"/"&amp;$A11,'120组关系明细'!$A$5:$A$124,0)))</x:f>
        <x:v>未评估</x:v>
      </x:c>
      <x:c r="N11" s="8" t="str">
        <x:f>IF(INDEX('120组关系明细'!$L$5:$L$124,MATCH(N$5&amp;"/"&amp;$A11,'120组关系明细'!$A$5:$A$124,0))="",INDEX('120组关系明细'!$E$5:$E$124,MATCH(N$5&amp;"/"&amp;$A11,'120组关系明细'!$A$5:$A$124,0)),INDEX('120组关系明细'!$L$5:$L$124,MATCH(N$5&amp;"/"&amp;$A11,'120组关系明细'!$A$5:$A$124,0)))</x:f>
        <x:v>未评估</x:v>
      </x:c>
      <x:c r="O11" s="8" t="str">
        <x:f>IF(INDEX('120组关系明细'!$L$5:$L$124,MATCH(O$5&amp;"/"&amp;$A11,'120组关系明细'!$A$5:$A$124,0))="",INDEX('120组关系明细'!$E$5:$E$124,MATCH(O$5&amp;"/"&amp;$A11,'120组关系明细'!$A$5:$A$124,0)),INDEX('120组关系明细'!$L$5:$L$124,MATCH(O$5&amp;"/"&amp;$A11,'120组关系明细'!$A$5:$A$124,0)))</x:f>
        <x:v>未评估</x:v>
      </x:c>
      <x:c r="P11" s="8" t="str">
        <x:f>IF(INDEX('120组关系明细'!$L$5:$L$124,MATCH(P$5&amp;"/"&amp;$A11,'120组关系明细'!$A$5:$A$124,0))="",INDEX('120组关系明细'!$E$5:$E$124,MATCH(P$5&amp;"/"&amp;$A11,'120组关系明细'!$A$5:$A$124,0)),INDEX('120组关系明细'!$L$5:$L$124,MATCH(P$5&amp;"/"&amp;$A11,'120组关系明细'!$A$5:$A$124,0)))</x:f>
        <x:v>未评估</x:v>
      </x:c>
      <x:c r="Q11" s="8" t="str">
        <x:f>IF(INDEX('120组关系明细'!$L$5:$L$124,MATCH(Q$5&amp;"/"&amp;$A11,'120组关系明细'!$A$5:$A$124,0))="",INDEX('120组关系明细'!$E$5:$E$124,MATCH(Q$5&amp;"/"&amp;$A11,'120组关系明细'!$A$5:$A$124,0)),INDEX('120组关系明细'!$L$5:$L$124,MATCH(Q$5&amp;"/"&amp;$A11,'120组关系明细'!$A$5:$A$124,0)))</x:f>
        <x:v>未评估</x:v>
      </x:c>
      <x:c r="R11" s="8" t="str">
        <x:f>IF(INDEX('120组关系明细'!$L$5:$L$124,MATCH(R$5&amp;"/"&amp;$A11,'120组关系明细'!$A$5:$A$124,0))="",INDEX('120组关系明细'!$E$5:$E$124,MATCH(R$5&amp;"/"&amp;$A11,'120组关系明细'!$A$5:$A$124,0)),INDEX('120组关系明细'!$L$5:$L$124,MATCH(R$5&amp;"/"&amp;$A11,'120组关系明细'!$A$5:$A$124,0)))</x:f>
        <x:v>未评估</x:v>
      </x:c>
      <x:c r="S11" s="8" t="str">
        <x:f>IF(INDEX('120组关系明细'!$L$5:$L$124,MATCH(S$5&amp;"/"&amp;$A11,'120组关系明细'!$A$5:$A$124,0))="",INDEX('120组关系明细'!$E$5:$E$124,MATCH(S$5&amp;"/"&amp;$A11,'120组关系明细'!$A$5:$A$124,0)),INDEX('120组关系明细'!$L$5:$L$124,MATCH(S$5&amp;"/"&amp;$A11,'120组关系明细'!$A$5:$A$124,0)))</x:f>
        <x:v>未评估</x:v>
      </x:c>
      <x:c r="T11" s="8" t="str">
        <x:f>IF(INDEX('120组关系明细'!$L$5:$L$124,MATCH(T$5&amp;"/"&amp;$A11,'120组关系明细'!$A$5:$A$124,0))="",INDEX('120组关系明细'!$E$5:$E$124,MATCH(T$5&amp;"/"&amp;$A11,'120组关系明细'!$A$5:$A$124,0)),INDEX('120组关系明细'!$L$5:$L$124,MATCH(T$5&amp;"/"&amp;$A11,'120组关系明细'!$A$5:$A$124,0)))</x:f>
        <x:v>未评估</x:v>
      </x:c>
      <x:c r="U11" s="8" t="str">
        <x:f>IF(INDEX('120组关系明细'!$L$5:$L$124,MATCH(U$5&amp;"/"&amp;$A11,'120组关系明细'!$A$5:$A$124,0))="",INDEX('120组关系明细'!$E$5:$E$124,MATCH(U$5&amp;"/"&amp;$A11,'120组关系明细'!$A$5:$A$124,0)),INDEX('120组关系明细'!$L$5:$L$124,MATCH(U$5&amp;"/"&amp;$A11,'120组关系明细'!$A$5:$A$124,0)))</x:f>
        <x:v>未评估</x:v>
      </x:c>
    </x:row>
    <x:row r="12" ht="26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26" customHeight="1">
      <x:c r="A13" s="1" t="str">
        <x:v>未评估 ≠ 0。展示指数不单独决定排名；置信度不进入指数。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34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20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18" hidden="0" customWidth="1"/>
    <x:col min="20" max="20" width="18" hidden="0" customWidth="1"/>
  </x:cols>
  <x:sheetData>
    <x:row r="1" ht="26" customHeight="1">
      <x:c r="A1" s="2" t="str">
        <x:v>120 组关系明细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6" customHeight="1">
      <x:c r="A2" s="1" t="str">
        <x:v>浅黄色为可填写项。五项未齐时不计算指数；未评估关系不生成排名。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6" customHeight="1">
      <x:c r="A3" s="1" t="str">
        <x:v>记录向量 (K,C,S,T,B)；C 由独立强剧情线数量计算。按 K、S、C、T、B 依次降序比较，同值并列。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38" customHeight="1">
      <x:c r="A4" s="5" t="str">
        <x:v>关系标识</x:v>
      </x:c>
      <x:c r="B4" s="5" t="str">
        <x:v>组合</x:v>
      </x:c>
      <x:c r="C4" s="5" t="str">
        <x:v>OC</x:v>
      </x:c>
      <x:c r="D4" s="5" t="str">
        <x:v>VS</x:v>
      </x:c>
      <x:c r="E4" s="5" t="str">
        <x:v>评估状态</x:v>
      </x:c>
      <x:c r="F4" s="5" t="str">
        <x:v>K</x:v>
      </x:c>
      <x:c r="G4" s="5" t="str">
        <x:v>独立强剧情线数</x:v>
      </x:c>
      <x:c r="H4" s="5" t="str">
        <x:v>C</x:v>
      </x:c>
      <x:c r="I4" s="5" t="str">
        <x:v>S</x:v>
      </x:c>
      <x:c r="J4" s="5" t="str">
        <x:v>T</x:v>
      </x:c>
      <x:c r="K4" s="5" t="str">
        <x:v>B</x:v>
      </x:c>
      <x:c r="L4" s="5" t="str">
        <x:v>展示指数 I</x:v>
      </x:c>
      <x:c r="M4" s="5" t="str">
        <x:v>置信度</x:v>
      </x:c>
      <x:c r="N4" s="5" t="str">
        <x:v>核查范围</x:v>
      </x:c>
      <x:c r="O4" s="5" t="str">
        <x:v>证据与独立剧情线</x:v>
      </x:c>
      <x:c r="P4" s="5" t="str">
        <x:v>时期划分与日期</x:v>
      </x:c>
      <x:c r="Q4" s="5" t="str">
        <x:v>功能分类依据</x:v>
      </x:c>
      <x:c r="R4" s="5" t="str">
        <x:v>来源链接</x:v>
      </x:c>
      <x:c r="S4" s="5" t="str">
        <x:v>OC 日文名</x:v>
      </x:c>
      <x:c r="T4" s="5" t="str">
        <x:v>VS 日文名</x:v>
      </x:c>
    </x:row>
    <x:row r="5" ht="115" customHeight="1">
      <x:c r="A5" s="1" t="str">
        <x:v>星乃一歌/初音未来</x:v>
      </x:c>
      <x:c r="B5" s="1" t="str">
        <x:v>Leo/need</x:v>
      </x:c>
      <x:c r="C5" s="1" t="str">
        <x:v>星乃一歌</x:v>
      </x:c>
      <x:c r="D5" s="1" t="str">
        <x:v>初音未来</x:v>
      </x:c>
      <x:c r="E5" s="9" t="str">
        <x:v>核查中</x:v>
      </x:c>
      <x:c r="F5" s="9" t="n">
        <x:v>4</x:v>
      </x:c>
      <x:c r="G5" s="9" t="n">
        <x:v>4</x:v>
      </x:c>
      <x:c r="H5" s="1" t="n">
        <x:f>IF(G5="","",CHOOSE(MIN(G5,4)+1,'评分规则'!$F$7,'评分规则'!$F$8,'评分规则'!$F$9,'评分规则'!$F$10,'评分规则'!$F$11))</x:f>
        <x:v>10</x:v>
      </x:c>
      <x:c r="I5" s="9" t="n">
        <x:v>4</x:v>
      </x:c>
      <x:c r="J5" s="9" t="n">
        <x:v>3</x:v>
      </x:c>
      <x:c r="K5" s="9" t="n">
        <x:v>4</x:v>
      </x:c>
      <x:c r="L5" s="7" t="n">
        <x:f>IF(OR(E5="未评估",COUNT(F5,H5,I5,J5,K5)&lt;5),"",'评分规则'!$D$5*F5/'评分规则'!$C$5+'评分规则'!$D$6*I5/'评分规则'!$C$6+'评分规则'!$D$7*H5/'评分规则'!$C$7+'评分规则'!$D$8*J5/'评分规则'!$C$8+'评分规则'!$D$9*K5/'评分规则'!$C$9)</x:f>
        <x:v>100</x:v>
      </x:c>
      <x:c r="M5" s="9" t="str">
        <x:v>A</x:v>
      </x:c>
      <x:c r="N5" s="11" t="str">
        <x:v>日文正文首轮精读；非全库人工审计</x:v>
      </x:c>
      <x:c r="O5" s="11" t="str">
        <x:v>小学因 Miku 萌生组乐队的想法；主线中承认重聚愿望并采取行动；克服公开演唱的畏惧；从憧憬者成长为用音乐连接他人的创作者</x:v>
      </x:c>
      <x:c r="P5" s="11" t="str">
        <x:v>小学、中学、当前：明确跨年</x:v>
      </x:c>
      <x:c r="Q5" s="11" t="str">
        <x:v>音乐与创作起点、情绪支撑、伙伴关系、面向听众的表达</x:v>
      </x:c>
      <x:c r="R5" s="11" t="str">
        <x:v>https://github.com/ci-ke/ProjectSekai-story/tree/fdfbd5de4f28f21a326d031439feb9b0491111a5</x:v>
      </x:c>
      <x:c r="S5" s="1" t="str">
        <x:v>星乃一歌</x:v>
      </x:c>
      <x:c r="T5" s="1" t="str">
        <x:v>初音ミク</x:v>
      </x:c>
    </x:row>
    <x:row r="6" ht="26" customHeight="1">
      <x:c r="A6" s="1" t="str">
        <x:v>天马咲希/初音未来</x:v>
      </x:c>
      <x:c r="B6" s="1" t="str">
        <x:v>Leo/need</x:v>
      </x:c>
      <x:c r="C6" s="1" t="str">
        <x:v>天马咲希</x:v>
      </x:c>
      <x:c r="D6" s="1" t="str">
        <x:v>初音未来</x:v>
      </x:c>
      <x:c r="E6" s="9" t="str">
        <x:v>未评估</x:v>
      </x:c>
      <x:c r="F6" s="9"/>
      <x:c r="G6" s="9"/>
      <x:c r="H6" s="1" t="str">
        <x:f>IF(G6="","",CHOOSE(MIN(G6,4)+1,'评分规则'!$F$7,'评分规则'!$F$8,'评分规则'!$F$9,'评分规则'!$F$10,'评分规则'!$F$11))</x:f>
      </x:c>
      <x:c r="I6" s="9"/>
      <x:c r="J6" s="9"/>
      <x:c r="K6" s="9"/>
      <x:c r="L6" s="7" t="str">
        <x:f>IF(OR(E6="未评估",COUNT(F6,H6,I6,J6,K6)&lt;5),"",'评分规则'!$D$5*F6/'评分规则'!$C$5+'评分规则'!$D$6*I6/'评分规则'!$C$6+'评分规则'!$D$7*H6/'评分规则'!$C$7+'评分规则'!$D$8*J6/'评分规则'!$C$8+'评分规则'!$D$9*K6/'评分规则'!$C$9)</x:f>
      </x:c>
      <x:c r="M6" s="9"/>
      <x:c r="N6" s="9"/>
      <x:c r="O6" s="9"/>
      <x:c r="P6" s="9"/>
      <x:c r="Q6" s="9"/>
      <x:c r="R6" s="9"/>
      <x:c r="S6" s="1" t="str">
        <x:v>天馬咲希</x:v>
      </x:c>
      <x:c r="T6" s="1" t="str">
        <x:v>初音ミク</x:v>
      </x:c>
    </x:row>
    <x:row r="7" ht="26" customHeight="1">
      <x:c r="A7" s="1" t="str">
        <x:v>望月穗波/初音未来</x:v>
      </x:c>
      <x:c r="B7" s="1" t="str">
        <x:v>Leo/need</x:v>
      </x:c>
      <x:c r="C7" s="1" t="str">
        <x:v>望月穗波</x:v>
      </x:c>
      <x:c r="D7" s="1" t="str">
        <x:v>初音未来</x:v>
      </x:c>
      <x:c r="E7" s="9" t="str">
        <x:v>未评估</x:v>
      </x:c>
      <x:c r="F7" s="9"/>
      <x:c r="G7" s="9"/>
      <x:c r="H7" s="1" t="str">
        <x:f>IF(G7="","",CHOOSE(MIN(G7,4)+1,'评分规则'!$F$7,'评分规则'!$F$8,'评分规则'!$F$9,'评分规则'!$F$10,'评分规则'!$F$11))</x:f>
      </x:c>
      <x:c r="I7" s="9"/>
      <x:c r="J7" s="9"/>
      <x:c r="K7" s="9"/>
      <x:c r="L7" s="7" t="str">
        <x:f>IF(OR(E7="未评估",COUNT(F7,H7,I7,J7,K7)&lt;5),"",'评分规则'!$D$5*F7/'评分规则'!$C$5+'评分规则'!$D$6*I7/'评分规则'!$C$6+'评分规则'!$D$7*H7/'评分规则'!$C$7+'评分规则'!$D$8*J7/'评分规则'!$C$8+'评分规则'!$D$9*K7/'评分规则'!$C$9)</x:f>
      </x:c>
      <x:c r="M7" s="9"/>
      <x:c r="N7" s="9"/>
      <x:c r="O7" s="9"/>
      <x:c r="P7" s="9"/>
      <x:c r="Q7" s="9"/>
      <x:c r="R7" s="9"/>
      <x:c r="S7" s="1" t="str">
        <x:v>望月穂波</x:v>
      </x:c>
      <x:c r="T7" s="1" t="str">
        <x:v>初音ミク</x:v>
      </x:c>
    </x:row>
    <x:row r="8" ht="26" customHeight="1">
      <x:c r="A8" s="1" t="str">
        <x:v>日野森志步/初音未来</x:v>
      </x:c>
      <x:c r="B8" s="1" t="str">
        <x:v>Leo/need</x:v>
      </x:c>
      <x:c r="C8" s="1" t="str">
        <x:v>日野森志步</x:v>
      </x:c>
      <x:c r="D8" s="1" t="str">
        <x:v>初音未来</x:v>
      </x:c>
      <x:c r="E8" s="9" t="str">
        <x:v>未评估</x:v>
      </x:c>
      <x:c r="F8" s="9"/>
      <x:c r="G8" s="9"/>
      <x:c r="H8" s="1" t="str">
        <x:f>IF(G8="","",CHOOSE(MIN(G8,4)+1,'评分规则'!$F$7,'评分规则'!$F$8,'评分规则'!$F$9,'评分规则'!$F$10,'评分规则'!$F$11))</x:f>
      </x:c>
      <x:c r="I8" s="9"/>
      <x:c r="J8" s="9"/>
      <x:c r="K8" s="9"/>
      <x:c r="L8" s="7" t="str">
        <x:f>IF(OR(E8="未评估",COUNT(F8,H8,I8,J8,K8)&lt;5),"",'评分规则'!$D$5*F8/'评分规则'!$C$5+'评分规则'!$D$6*I8/'评分规则'!$C$6+'评分规则'!$D$7*H8/'评分规则'!$C$7+'评分规则'!$D$8*J8/'评分规则'!$C$8+'评分规则'!$D$9*K8/'评分规则'!$C$9)</x:f>
      </x:c>
      <x:c r="M8" s="9"/>
      <x:c r="N8" s="9"/>
      <x:c r="O8" s="9"/>
      <x:c r="P8" s="9"/>
      <x:c r="Q8" s="9"/>
      <x:c r="R8" s="9"/>
      <x:c r="S8" s="1" t="str">
        <x:v>日野森志歩</x:v>
      </x:c>
      <x:c r="T8" s="1" t="str">
        <x:v>初音ミク</x:v>
      </x:c>
    </x:row>
    <x:row r="9" ht="26" customHeight="1">
      <x:c r="A9" s="1" t="str">
        <x:v>花里实乃理/初音未来</x:v>
      </x:c>
      <x:c r="B9" s="1" t="str">
        <x:v>MORE MORE JUMP!</x:v>
      </x:c>
      <x:c r="C9" s="1" t="str">
        <x:v>花里实乃理</x:v>
      </x:c>
      <x:c r="D9" s="1" t="str">
        <x:v>初音未来</x:v>
      </x:c>
      <x:c r="E9" s="9" t="str">
        <x:v>未评估</x:v>
      </x:c>
      <x:c r="F9" s="9"/>
      <x:c r="G9" s="9"/>
      <x:c r="H9" s="1" t="str">
        <x:f>IF(G9="","",CHOOSE(MIN(G9,4)+1,'评分规则'!$F$7,'评分规则'!$F$8,'评分规则'!$F$9,'评分规则'!$F$10,'评分规则'!$F$11))</x:f>
      </x:c>
      <x:c r="I9" s="9"/>
      <x:c r="J9" s="9"/>
      <x:c r="K9" s="9"/>
      <x:c r="L9" s="7" t="str">
        <x:f>IF(OR(E9="未评估",COUNT(F9,H9,I9,J9,K9)&lt;5),"",'评分规则'!$D$5*F9/'评分规则'!$C$5+'评分规则'!$D$6*I9/'评分规则'!$C$6+'评分规则'!$D$7*H9/'评分规则'!$C$7+'评分规则'!$D$8*J9/'评分规则'!$C$8+'评分规则'!$D$9*K9/'评分规则'!$C$9)</x:f>
      </x:c>
      <x:c r="M9" s="9"/>
      <x:c r="N9" s="9"/>
      <x:c r="O9" s="9"/>
      <x:c r="P9" s="9"/>
      <x:c r="Q9" s="9"/>
      <x:c r="R9" s="9"/>
      <x:c r="S9" s="1" t="str">
        <x:v>花里みのり</x:v>
      </x:c>
      <x:c r="T9" s="1" t="str">
        <x:v>初音ミク</x:v>
      </x:c>
    </x:row>
    <x:row r="10" ht="26" customHeight="1">
      <x:c r="A10" s="1" t="str">
        <x:v>桐谷遥/初音未来</x:v>
      </x:c>
      <x:c r="B10" s="1" t="str">
        <x:v>MORE MORE JUMP!</x:v>
      </x:c>
      <x:c r="C10" s="1" t="str">
        <x:v>桐谷遥</x:v>
      </x:c>
      <x:c r="D10" s="1" t="str">
        <x:v>初音未来</x:v>
      </x:c>
      <x:c r="E10" s="9" t="str">
        <x:v>未评估</x:v>
      </x:c>
      <x:c r="F10" s="9"/>
      <x:c r="G10" s="9"/>
      <x:c r="H10" s="1" t="str">
        <x:f>IF(G10="","",CHOOSE(MIN(G10,4)+1,'评分规则'!$F$7,'评分规则'!$F$8,'评分规则'!$F$9,'评分规则'!$F$10,'评分规则'!$F$11))</x:f>
      </x:c>
      <x:c r="I10" s="9"/>
      <x:c r="J10" s="9"/>
      <x:c r="K10" s="9"/>
      <x:c r="L10" s="7" t="str">
        <x:f>IF(OR(E10="未评估",COUNT(F10,H10,I10,J10,K10)&lt;5),"",'评分规则'!$D$5*F10/'评分规则'!$C$5+'评分规则'!$D$6*I10/'评分规则'!$C$6+'评分规则'!$D$7*H10/'评分规则'!$C$7+'评分规则'!$D$8*J10/'评分规则'!$C$8+'评分规则'!$D$9*K10/'评分规则'!$C$9)</x:f>
      </x:c>
      <x:c r="M10" s="9"/>
      <x:c r="N10" s="9"/>
      <x:c r="O10" s="9"/>
      <x:c r="P10" s="9"/>
      <x:c r="Q10" s="9"/>
      <x:c r="R10" s="9"/>
      <x:c r="S10" s="1" t="str">
        <x:v>桐谷遥</x:v>
      </x:c>
      <x:c r="T10" s="1" t="str">
        <x:v>初音ミク</x:v>
      </x:c>
    </x:row>
    <x:row r="11" ht="26" customHeight="1">
      <x:c r="A11" s="1" t="str">
        <x:v>桃井爱莉/初音未来</x:v>
      </x:c>
      <x:c r="B11" s="1" t="str">
        <x:v>MORE MORE JUMP!</x:v>
      </x:c>
      <x:c r="C11" s="1" t="str">
        <x:v>桃井爱莉</x:v>
      </x:c>
      <x:c r="D11" s="1" t="str">
        <x:v>初音未来</x:v>
      </x:c>
      <x:c r="E11" s="9" t="str">
        <x:v>未评估</x:v>
      </x:c>
      <x:c r="F11" s="9"/>
      <x:c r="G11" s="9"/>
      <x:c r="H11" s="1" t="str">
        <x:f>IF(G11="","",CHOOSE(MIN(G11,4)+1,'评分规则'!$F$7,'评分规则'!$F$8,'评分规则'!$F$9,'评分规则'!$F$10,'评分规则'!$F$11))</x:f>
      </x:c>
      <x:c r="I11" s="9"/>
      <x:c r="J11" s="9"/>
      <x:c r="K11" s="9"/>
      <x:c r="L11" s="7" t="str">
        <x:f>IF(OR(E11="未评估",COUNT(F11,H11,I11,J11,K11)&lt;5),"",'评分规则'!$D$5*F11/'评分规则'!$C$5+'评分规则'!$D$6*I11/'评分规则'!$C$6+'评分规则'!$D$7*H11/'评分规则'!$C$7+'评分规则'!$D$8*J11/'评分规则'!$C$8+'评分规则'!$D$9*K11/'评分规则'!$C$9)</x:f>
      </x:c>
      <x:c r="M11" s="9"/>
      <x:c r="N11" s="9"/>
      <x:c r="O11" s="9"/>
      <x:c r="P11" s="9"/>
      <x:c r="Q11" s="9"/>
      <x:c r="R11" s="9"/>
      <x:c r="S11" s="1" t="str">
        <x:v>桃井愛莉</x:v>
      </x:c>
      <x:c r="T11" s="1" t="str">
        <x:v>初音ミク</x:v>
      </x:c>
    </x:row>
    <x:row r="12" ht="26" customHeight="1">
      <x:c r="A12" s="1" t="str">
        <x:v>日野森雫/初音未来</x:v>
      </x:c>
      <x:c r="B12" s="1" t="str">
        <x:v>MORE MORE JUMP!</x:v>
      </x:c>
      <x:c r="C12" s="1" t="str">
        <x:v>日野森雫</x:v>
      </x:c>
      <x:c r="D12" s="1" t="str">
        <x:v>初音未来</x:v>
      </x:c>
      <x:c r="E12" s="9" t="str">
        <x:v>未评估</x:v>
      </x:c>
      <x:c r="F12" s="9"/>
      <x:c r="G12" s="9"/>
      <x:c r="H12" s="1" t="str">
        <x:f>IF(G12="","",CHOOSE(MIN(G12,4)+1,'评分规则'!$F$7,'评分规则'!$F$8,'评分规则'!$F$9,'评分规则'!$F$10,'评分规则'!$F$11))</x:f>
      </x:c>
      <x:c r="I12" s="9"/>
      <x:c r="J12" s="9"/>
      <x:c r="K12" s="9"/>
      <x:c r="L12" s="7" t="str">
        <x:f>IF(OR(E12="未评估",COUNT(F12,H12,I12,J12,K12)&lt;5),"",'评分规则'!$D$5*F12/'评分规则'!$C$5+'评分规则'!$D$6*I12/'评分规则'!$C$6+'评分规则'!$D$7*H12/'评分规则'!$C$7+'评分规则'!$D$8*J12/'评分规则'!$C$8+'评分规则'!$D$9*K12/'评分规则'!$C$9)</x:f>
      </x:c>
      <x:c r="M12" s="9"/>
      <x:c r="N12" s="9"/>
      <x:c r="O12" s="9"/>
      <x:c r="P12" s="9"/>
      <x:c r="Q12" s="9"/>
      <x:c r="R12" s="9"/>
      <x:c r="S12" s="1" t="str">
        <x:v>日野森雫</x:v>
      </x:c>
      <x:c r="T12" s="1" t="str">
        <x:v>初音ミク</x:v>
      </x:c>
    </x:row>
    <x:row r="13" ht="26" customHeight="1">
      <x:c r="A13" s="1" t="str">
        <x:v>小豆泽心羽/初音未来</x:v>
      </x:c>
      <x:c r="B13" s="1" t="str">
        <x:v>Vivid BAD SQUAD</x:v>
      </x:c>
      <x:c r="C13" s="1" t="str">
        <x:v>小豆泽心羽</x:v>
      </x:c>
      <x:c r="D13" s="1" t="str">
        <x:v>初音未来</x:v>
      </x:c>
      <x:c r="E13" s="9" t="str">
        <x:v>未评估</x:v>
      </x:c>
      <x:c r="F13" s="9"/>
      <x:c r="G13" s="9"/>
      <x:c r="H13" s="1" t="str">
        <x:f>IF(G13="","",CHOOSE(MIN(G13,4)+1,'评分规则'!$F$7,'评分规则'!$F$8,'评分规则'!$F$9,'评分规则'!$F$10,'评分规则'!$F$11))</x:f>
      </x:c>
      <x:c r="I13" s="9"/>
      <x:c r="J13" s="9"/>
      <x:c r="K13" s="9"/>
      <x:c r="L13" s="7" t="str">
        <x:f>IF(OR(E13="未评估",COUNT(F13,H13,I13,J13,K13)&lt;5),"",'评分规则'!$D$5*F13/'评分规则'!$C$5+'评分规则'!$D$6*I13/'评分规则'!$C$6+'评分规则'!$D$7*H13/'评分规则'!$C$7+'评分规则'!$D$8*J13/'评分规则'!$C$8+'评分规则'!$D$9*K13/'评分规则'!$C$9)</x:f>
      </x:c>
      <x:c r="M13" s="9"/>
      <x:c r="N13" s="9"/>
      <x:c r="O13" s="9"/>
      <x:c r="P13" s="9"/>
      <x:c r="Q13" s="9"/>
      <x:c r="R13" s="9"/>
      <x:c r="S13" s="1" t="str">
        <x:v>小豆沢こはね</x:v>
      </x:c>
      <x:c r="T13" s="1" t="str">
        <x:v>初音ミク</x:v>
      </x:c>
    </x:row>
    <x:row r="14" ht="26" customHeight="1">
      <x:c r="A14" s="1" t="str">
        <x:v>白石杏/初音未来</x:v>
      </x:c>
      <x:c r="B14" s="1" t="str">
        <x:v>Vivid BAD SQUAD</x:v>
      </x:c>
      <x:c r="C14" s="1" t="str">
        <x:v>白石杏</x:v>
      </x:c>
      <x:c r="D14" s="1" t="str">
        <x:v>初音未来</x:v>
      </x:c>
      <x:c r="E14" s="9" t="str">
        <x:v>未评估</x:v>
      </x:c>
      <x:c r="F14" s="9"/>
      <x:c r="G14" s="9"/>
      <x:c r="H14" s="1" t="str">
        <x:f>IF(G14="","",CHOOSE(MIN(G14,4)+1,'评分规则'!$F$7,'评分规则'!$F$8,'评分规则'!$F$9,'评分规则'!$F$10,'评分规则'!$F$11))</x:f>
      </x:c>
      <x:c r="I14" s="9"/>
      <x:c r="J14" s="9"/>
      <x:c r="K14" s="9"/>
      <x:c r="L14" s="7" t="str">
        <x:f>IF(OR(E14="未评估",COUNT(F14,H14,I14,J14,K14)&lt;5),"",'评分规则'!$D$5*F14/'评分规则'!$C$5+'评分规则'!$D$6*I14/'评分规则'!$C$6+'评分规则'!$D$7*H14/'评分规则'!$C$7+'评分规则'!$D$8*J14/'评分规则'!$C$8+'评分规则'!$D$9*K14/'评分规则'!$C$9)</x:f>
      </x:c>
      <x:c r="M14" s="9"/>
      <x:c r="N14" s="9"/>
      <x:c r="O14" s="9"/>
      <x:c r="P14" s="9"/>
      <x:c r="Q14" s="9"/>
      <x:c r="R14" s="9"/>
      <x:c r="S14" s="1" t="str">
        <x:v>白石杏</x:v>
      </x:c>
      <x:c r="T14" s="1" t="str">
        <x:v>初音ミク</x:v>
      </x:c>
    </x:row>
    <x:row r="15" ht="26" customHeight="1">
      <x:c r="A15" s="1" t="str">
        <x:v>东云彰人/初音未来</x:v>
      </x:c>
      <x:c r="B15" s="1" t="str">
        <x:v>Vivid BAD SQUAD</x:v>
      </x:c>
      <x:c r="C15" s="1" t="str">
        <x:v>东云彰人</x:v>
      </x:c>
      <x:c r="D15" s="1" t="str">
        <x:v>初音未来</x:v>
      </x:c>
      <x:c r="E15" s="9" t="str">
        <x:v>未评估</x:v>
      </x:c>
      <x:c r="F15" s="9"/>
      <x:c r="G15" s="9"/>
      <x:c r="H15" s="1" t="str">
        <x:f>IF(G15="","",CHOOSE(MIN(G15,4)+1,'评分规则'!$F$7,'评分规则'!$F$8,'评分规则'!$F$9,'评分规则'!$F$10,'评分规则'!$F$11))</x:f>
      </x:c>
      <x:c r="I15" s="9"/>
      <x:c r="J15" s="9"/>
      <x:c r="K15" s="9"/>
      <x:c r="L15" s="7" t="str">
        <x:f>IF(OR(E15="未评估",COUNT(F15,H15,I15,J15,K15)&lt;5),"",'评分规则'!$D$5*F15/'评分规则'!$C$5+'评分规则'!$D$6*I15/'评分规则'!$C$6+'评分规则'!$D$7*H15/'评分规则'!$C$7+'评分规则'!$D$8*J15/'评分规则'!$C$8+'评分规则'!$D$9*K15/'评分规则'!$C$9)</x:f>
      </x:c>
      <x:c r="M15" s="9"/>
      <x:c r="N15" s="9"/>
      <x:c r="O15" s="9"/>
      <x:c r="P15" s="9"/>
      <x:c r="Q15" s="9"/>
      <x:c r="R15" s="9"/>
      <x:c r="S15" s="1" t="str">
        <x:v>東雲彰人</x:v>
      </x:c>
      <x:c r="T15" s="1" t="str">
        <x:v>初音ミク</x:v>
      </x:c>
    </x:row>
    <x:row r="16" ht="26" customHeight="1">
      <x:c r="A16" s="1" t="str">
        <x:v>青柳冬弥/初音未来</x:v>
      </x:c>
      <x:c r="B16" s="1" t="str">
        <x:v>Vivid BAD SQUAD</x:v>
      </x:c>
      <x:c r="C16" s="1" t="str">
        <x:v>青柳冬弥</x:v>
      </x:c>
      <x:c r="D16" s="1" t="str">
        <x:v>初音未来</x:v>
      </x:c>
      <x:c r="E16" s="9" t="str">
        <x:v>未评估</x:v>
      </x:c>
      <x:c r="F16" s="9"/>
      <x:c r="G16" s="9"/>
      <x:c r="H16" s="1" t="str">
        <x:f>IF(G16="","",CHOOSE(MIN(G16,4)+1,'评分规则'!$F$7,'评分规则'!$F$8,'评分规则'!$F$9,'评分规则'!$F$10,'评分规则'!$F$11))</x:f>
      </x:c>
      <x:c r="I16" s="9"/>
      <x:c r="J16" s="9"/>
      <x:c r="K16" s="9"/>
      <x:c r="L16" s="7" t="str">
        <x:f>IF(OR(E16="未评估",COUNT(F16,H16,I16,J16,K16)&lt;5),"",'评分规则'!$D$5*F16/'评分规则'!$C$5+'评分规则'!$D$6*I16/'评分规则'!$C$6+'评分规则'!$D$7*H16/'评分规则'!$C$7+'评分规则'!$D$8*J16/'评分规则'!$C$8+'评分规则'!$D$9*K16/'评分规则'!$C$9)</x:f>
      </x:c>
      <x:c r="M16" s="9"/>
      <x:c r="N16" s="9"/>
      <x:c r="O16" s="9"/>
      <x:c r="P16" s="9"/>
      <x:c r="Q16" s="9"/>
      <x:c r="R16" s="9"/>
      <x:c r="S16" s="1" t="str">
        <x:v>青柳冬弥</x:v>
      </x:c>
      <x:c r="T16" s="1" t="str">
        <x:v>初音ミク</x:v>
      </x:c>
    </x:row>
    <x:row r="17" ht="26" customHeight="1">
      <x:c r="A17" s="1" t="str">
        <x:v>天马司/初音未来</x:v>
      </x:c>
      <x:c r="B17" s="1" t="str">
        <x:v>Wonderlands×Showtime</x:v>
      </x:c>
      <x:c r="C17" s="1" t="str">
        <x:v>天马司</x:v>
      </x:c>
      <x:c r="D17" s="1" t="str">
        <x:v>初音未来</x:v>
      </x:c>
      <x:c r="E17" s="9" t="str">
        <x:v>未评估</x:v>
      </x:c>
      <x:c r="F17" s="9"/>
      <x:c r="G17" s="9"/>
      <x:c r="H17" s="1" t="str">
        <x:f>IF(G17="","",CHOOSE(MIN(G17,4)+1,'评分规则'!$F$7,'评分规则'!$F$8,'评分规则'!$F$9,'评分规则'!$F$10,'评分规则'!$F$11))</x:f>
      </x:c>
      <x:c r="I17" s="9"/>
      <x:c r="J17" s="9"/>
      <x:c r="K17" s="9"/>
      <x:c r="L17" s="7" t="str">
        <x:f>IF(OR(E17="未评估",COUNT(F17,H17,I17,J17,K17)&lt;5),"",'评分规则'!$D$5*F17/'评分规则'!$C$5+'评分规则'!$D$6*I17/'评分规则'!$C$6+'评分规则'!$D$7*H17/'评分规则'!$C$7+'评分规则'!$D$8*J17/'评分规则'!$C$8+'评分规则'!$D$9*K17/'评分规则'!$C$9)</x:f>
      </x:c>
      <x:c r="M17" s="9"/>
      <x:c r="N17" s="9"/>
      <x:c r="O17" s="9"/>
      <x:c r="P17" s="9"/>
      <x:c r="Q17" s="9"/>
      <x:c r="R17" s="9"/>
      <x:c r="S17" s="1" t="str">
        <x:v>天馬司</x:v>
      </x:c>
      <x:c r="T17" s="1" t="str">
        <x:v>初音ミク</x:v>
      </x:c>
    </x:row>
    <x:row r="18" ht="26" customHeight="1">
      <x:c r="A18" s="1" t="str">
        <x:v>凤笑梦/初音未来</x:v>
      </x:c>
      <x:c r="B18" s="1" t="str">
        <x:v>Wonderlands×Showtime</x:v>
      </x:c>
      <x:c r="C18" s="1" t="str">
        <x:v>凤笑梦</x:v>
      </x:c>
      <x:c r="D18" s="1" t="str">
        <x:v>初音未来</x:v>
      </x:c>
      <x:c r="E18" s="9" t="str">
        <x:v>未评估</x:v>
      </x:c>
      <x:c r="F18" s="9"/>
      <x:c r="G18" s="9"/>
      <x:c r="H18" s="1" t="str">
        <x:f>IF(G18="","",CHOOSE(MIN(G18,4)+1,'评分规则'!$F$7,'评分规则'!$F$8,'评分规则'!$F$9,'评分规则'!$F$10,'评分规则'!$F$11))</x:f>
      </x:c>
      <x:c r="I18" s="9"/>
      <x:c r="J18" s="9"/>
      <x:c r="K18" s="9"/>
      <x:c r="L18" s="7" t="str">
        <x:f>IF(OR(E18="未评估",COUNT(F18,H18,I18,J18,K18)&lt;5),"",'评分规则'!$D$5*F18/'评分规则'!$C$5+'评分规则'!$D$6*I18/'评分规则'!$C$6+'评分规则'!$D$7*H18/'评分规则'!$C$7+'评分规则'!$D$8*J18/'评分规则'!$C$8+'评分规则'!$D$9*K18/'评分规则'!$C$9)</x:f>
      </x:c>
      <x:c r="M18" s="9"/>
      <x:c r="N18" s="9"/>
      <x:c r="O18" s="9"/>
      <x:c r="P18" s="9"/>
      <x:c r="Q18" s="9"/>
      <x:c r="R18" s="9"/>
      <x:c r="S18" s="1" t="str">
        <x:v>鳳えむ</x:v>
      </x:c>
      <x:c r="T18" s="1" t="str">
        <x:v>初音ミク</x:v>
      </x:c>
    </x:row>
    <x:row r="19" ht="26" customHeight="1">
      <x:c r="A19" s="1" t="str">
        <x:v>草薙宁宁/初音未来</x:v>
      </x:c>
      <x:c r="B19" s="1" t="str">
        <x:v>Wonderlands×Showtime</x:v>
      </x:c>
      <x:c r="C19" s="1" t="str">
        <x:v>草薙宁宁</x:v>
      </x:c>
      <x:c r="D19" s="1" t="str">
        <x:v>初音未来</x:v>
      </x:c>
      <x:c r="E19" s="9" t="str">
        <x:v>未评估</x:v>
      </x:c>
      <x:c r="F19" s="9"/>
      <x:c r="G19" s="9"/>
      <x:c r="H19" s="1" t="str">
        <x:f>IF(G19="","",CHOOSE(MIN(G19,4)+1,'评分规则'!$F$7,'评分规则'!$F$8,'评分规则'!$F$9,'评分规则'!$F$10,'评分规则'!$F$11))</x:f>
      </x:c>
      <x:c r="I19" s="9"/>
      <x:c r="J19" s="9"/>
      <x:c r="K19" s="9"/>
      <x:c r="L19" s="7" t="str">
        <x:f>IF(OR(E19="未评估",COUNT(F19,H19,I19,J19,K19)&lt;5),"",'评分规则'!$D$5*F19/'评分规则'!$C$5+'评分规则'!$D$6*I19/'评分规则'!$C$6+'评分规则'!$D$7*H19/'评分规则'!$C$7+'评分规则'!$D$8*J19/'评分规则'!$C$8+'评分规则'!$D$9*K19/'评分规则'!$C$9)</x:f>
      </x:c>
      <x:c r="M19" s="9"/>
      <x:c r="N19" s="9"/>
      <x:c r="O19" s="9"/>
      <x:c r="P19" s="9"/>
      <x:c r="Q19" s="9"/>
      <x:c r="R19" s="9"/>
      <x:c r="S19" s="1" t="str">
        <x:v>草薙寧々</x:v>
      </x:c>
      <x:c r="T19" s="1" t="str">
        <x:v>初音ミク</x:v>
      </x:c>
    </x:row>
    <x:row r="20" ht="26" customHeight="1">
      <x:c r="A20" s="1" t="str">
        <x:v>神代类/初音未来</x:v>
      </x:c>
      <x:c r="B20" s="1" t="str">
        <x:v>Wonderlands×Showtime</x:v>
      </x:c>
      <x:c r="C20" s="1" t="str">
        <x:v>神代类</x:v>
      </x:c>
      <x:c r="D20" s="1" t="str">
        <x:v>初音未来</x:v>
      </x:c>
      <x:c r="E20" s="9" t="str">
        <x:v>未评估</x:v>
      </x:c>
      <x:c r="F20" s="9"/>
      <x:c r="G20" s="9"/>
      <x:c r="H20" s="1" t="str">
        <x:f>IF(G20="","",CHOOSE(MIN(G20,4)+1,'评分规则'!$F$7,'评分规则'!$F$8,'评分规则'!$F$9,'评分规则'!$F$10,'评分规则'!$F$11))</x:f>
      </x:c>
      <x:c r="I20" s="9"/>
      <x:c r="J20" s="9"/>
      <x:c r="K20" s="9"/>
      <x:c r="L20" s="7" t="str">
        <x:f>IF(OR(E20="未评估",COUNT(F20,H20,I20,J20,K20)&lt;5),"",'评分规则'!$D$5*F20/'评分规则'!$C$5+'评分规则'!$D$6*I20/'评分规则'!$C$6+'评分规则'!$D$7*H20/'评分规则'!$C$7+'评分规则'!$D$8*J20/'评分规则'!$C$8+'评分规则'!$D$9*K20/'评分规则'!$C$9)</x:f>
      </x:c>
      <x:c r="M20" s="9"/>
      <x:c r="N20" s="9"/>
      <x:c r="O20" s="9"/>
      <x:c r="P20" s="9"/>
      <x:c r="Q20" s="9"/>
      <x:c r="R20" s="9"/>
      <x:c r="S20" s="1" t="str">
        <x:v>神代類</x:v>
      </x:c>
      <x:c r="T20" s="1" t="str">
        <x:v>初音ミク</x:v>
      </x:c>
    </x:row>
    <x:row r="21" ht="26" customHeight="1">
      <x:c r="A21" s="1" t="str">
        <x:v>宵崎奏/初音未来</x:v>
      </x:c>
      <x:c r="B21" s="1" t="str">
        <x:v>25时，Nightcord见。</x:v>
      </x:c>
      <x:c r="C21" s="1" t="str">
        <x:v>宵崎奏</x:v>
      </x:c>
      <x:c r="D21" s="1" t="str">
        <x:v>初音未来</x:v>
      </x:c>
      <x:c r="E21" s="9" t="str">
        <x:v>未评估</x:v>
      </x:c>
      <x:c r="F21" s="9"/>
      <x:c r="G21" s="9"/>
      <x:c r="H21" s="1" t="str">
        <x:f>IF(G21="","",CHOOSE(MIN(G21,4)+1,'评分规则'!$F$7,'评分规则'!$F$8,'评分规则'!$F$9,'评分规则'!$F$10,'评分规则'!$F$11))</x:f>
      </x:c>
      <x:c r="I21" s="9"/>
      <x:c r="J21" s="9"/>
      <x:c r="K21" s="9"/>
      <x:c r="L21" s="7" t="str">
        <x:f>IF(OR(E21="未评估",COUNT(F21,H21,I21,J21,K21)&lt;5),"",'评分规则'!$D$5*F21/'评分规则'!$C$5+'评分规则'!$D$6*I21/'评分规则'!$C$6+'评分规则'!$D$7*H21/'评分规则'!$C$7+'评分规则'!$D$8*J21/'评分规则'!$C$8+'评分规则'!$D$9*K21/'评分规则'!$C$9)</x:f>
      </x:c>
      <x:c r="M21" s="9"/>
      <x:c r="N21" s="9"/>
      <x:c r="O21" s="9"/>
      <x:c r="P21" s="9"/>
      <x:c r="Q21" s="9"/>
      <x:c r="R21" s="9"/>
      <x:c r="S21" s="1" t="str">
        <x:v>宵崎奏</x:v>
      </x:c>
      <x:c r="T21" s="1" t="str">
        <x:v>初音ミク</x:v>
      </x:c>
    </x:row>
    <x:row r="22" ht="26" customHeight="1">
      <x:c r="A22" s="1" t="str">
        <x:v>朝比奈真冬/初音未来</x:v>
      </x:c>
      <x:c r="B22" s="1" t="str">
        <x:v>25时，Nightcord见。</x:v>
      </x:c>
      <x:c r="C22" s="1" t="str">
        <x:v>朝比奈真冬</x:v>
      </x:c>
      <x:c r="D22" s="1" t="str">
        <x:v>初音未来</x:v>
      </x:c>
      <x:c r="E22" s="9" t="str">
        <x:v>未评估</x:v>
      </x:c>
      <x:c r="F22" s="9"/>
      <x:c r="G22" s="9"/>
      <x:c r="H22" s="1" t="str">
        <x:f>IF(G22="","",CHOOSE(MIN(G22,4)+1,'评分规则'!$F$7,'评分规则'!$F$8,'评分规则'!$F$9,'评分规则'!$F$10,'评分规则'!$F$11))</x:f>
      </x:c>
      <x:c r="I22" s="9"/>
      <x:c r="J22" s="9"/>
      <x:c r="K22" s="9"/>
      <x:c r="L22" s="7" t="str">
        <x:f>IF(OR(E22="未评估",COUNT(F22,H22,I22,J22,K22)&lt;5),"",'评分规则'!$D$5*F22/'评分规则'!$C$5+'评分规则'!$D$6*I22/'评分规则'!$C$6+'评分规则'!$D$7*H22/'评分规则'!$C$7+'评分规则'!$D$8*J22/'评分规则'!$C$8+'评分规则'!$D$9*K22/'评分规则'!$C$9)</x:f>
      </x:c>
      <x:c r="M22" s="9"/>
      <x:c r="N22" s="9"/>
      <x:c r="O22" s="9"/>
      <x:c r="P22" s="9"/>
      <x:c r="Q22" s="9"/>
      <x:c r="R22" s="9"/>
      <x:c r="S22" s="1" t="str">
        <x:v>朝比奈まふゆ</x:v>
      </x:c>
      <x:c r="T22" s="1" t="str">
        <x:v>初音ミク</x:v>
      </x:c>
    </x:row>
    <x:row r="23" ht="26" customHeight="1">
      <x:c r="A23" s="1" t="str">
        <x:v>东云绘名/初音未来</x:v>
      </x:c>
      <x:c r="B23" s="1" t="str">
        <x:v>25时，Nightcord见。</x:v>
      </x:c>
      <x:c r="C23" s="1" t="str">
        <x:v>东云绘名</x:v>
      </x:c>
      <x:c r="D23" s="1" t="str">
        <x:v>初音未来</x:v>
      </x:c>
      <x:c r="E23" s="9" t="str">
        <x:v>未评估</x:v>
      </x:c>
      <x:c r="F23" s="9"/>
      <x:c r="G23" s="9"/>
      <x:c r="H23" s="1" t="str">
        <x:f>IF(G23="","",CHOOSE(MIN(G23,4)+1,'评分规则'!$F$7,'评分规则'!$F$8,'评分规则'!$F$9,'评分规则'!$F$10,'评分规则'!$F$11))</x:f>
      </x:c>
      <x:c r="I23" s="9"/>
      <x:c r="J23" s="9"/>
      <x:c r="K23" s="9"/>
      <x:c r="L23" s="7" t="str">
        <x:f>IF(OR(E23="未评估",COUNT(F23,H23,I23,J23,K23)&lt;5),"",'评分规则'!$D$5*F23/'评分规则'!$C$5+'评分规则'!$D$6*I23/'评分规则'!$C$6+'评分规则'!$D$7*H23/'评分规则'!$C$7+'评分规则'!$D$8*J23/'评分规则'!$C$8+'评分规则'!$D$9*K23/'评分规则'!$C$9)</x:f>
      </x:c>
      <x:c r="M23" s="9"/>
      <x:c r="N23" s="9"/>
      <x:c r="O23" s="9"/>
      <x:c r="P23" s="9"/>
      <x:c r="Q23" s="9"/>
      <x:c r="R23" s="9"/>
      <x:c r="S23" s="1" t="str">
        <x:v>東雲絵名</x:v>
      </x:c>
      <x:c r="T23" s="1" t="str">
        <x:v>初音ミク</x:v>
      </x:c>
    </x:row>
    <x:row r="24" ht="26" customHeight="1">
      <x:c r="A24" s="1" t="str">
        <x:v>晓山瑞希/初音未来</x:v>
      </x:c>
      <x:c r="B24" s="1" t="str">
        <x:v>25时，Nightcord见。</x:v>
      </x:c>
      <x:c r="C24" s="1" t="str">
        <x:v>晓山瑞希</x:v>
      </x:c>
      <x:c r="D24" s="1" t="str">
        <x:v>初音未来</x:v>
      </x:c>
      <x:c r="E24" s="9" t="str">
        <x:v>未评估</x:v>
      </x:c>
      <x:c r="F24" s="9"/>
      <x:c r="G24" s="9"/>
      <x:c r="H24" s="1" t="str">
        <x:f>IF(G24="","",CHOOSE(MIN(G24,4)+1,'评分规则'!$F$7,'评分规则'!$F$8,'评分规则'!$F$9,'评分规则'!$F$10,'评分规则'!$F$11))</x:f>
      </x:c>
      <x:c r="I24" s="9"/>
      <x:c r="J24" s="9"/>
      <x:c r="K24" s="9"/>
      <x:c r="L24" s="7" t="str">
        <x:f>IF(OR(E24="未评估",COUNT(F24,H24,I24,J24,K24)&lt;5),"",'评分规则'!$D$5*F24/'评分规则'!$C$5+'评分规则'!$D$6*I24/'评分规则'!$C$6+'评分规则'!$D$7*H24/'评分规则'!$C$7+'评分规则'!$D$8*J24/'评分规则'!$C$8+'评分规则'!$D$9*K24/'评分规则'!$C$9)</x:f>
      </x:c>
      <x:c r="M24" s="9"/>
      <x:c r="N24" s="9"/>
      <x:c r="O24" s="9"/>
      <x:c r="P24" s="9"/>
      <x:c r="Q24" s="9"/>
      <x:c r="R24" s="9"/>
      <x:c r="S24" s="1" t="str">
        <x:v>暁山瑞希</x:v>
      </x:c>
      <x:c r="T24" s="1" t="str">
        <x:v>初音ミク</x:v>
      </x:c>
    </x:row>
    <x:row r="25" ht="115" customHeight="1">
      <x:c r="A25" s="1" t="str">
        <x:v>星乃一歌/镜音铃</x:v>
      </x:c>
      <x:c r="B25" s="1" t="str">
        <x:v>Leo/need</x:v>
      </x:c>
      <x:c r="C25" s="1" t="str">
        <x:v>星乃一歌</x:v>
      </x:c>
      <x:c r="D25" s="1" t="str">
        <x:v>镜音铃</x:v>
      </x:c>
      <x:c r="E25" s="9" t="str">
        <x:v>核查中</x:v>
      </x:c>
      <x:c r="F25" s="9" t="n">
        <x:v>3</x:v>
      </x:c>
      <x:c r="G25" s="9" t="n">
        <x:v>2</x:v>
      </x:c>
      <x:c r="H25" s="1" t="n">
        <x:f>IF(G25="","",CHOOSE(MIN(G25,4)+1,'评分规则'!$F$7,'评分规则'!$F$8,'评分规则'!$F$9,'评分规则'!$F$10,'评分规则'!$F$11))</x:f>
        <x:v>7</x:v>
      </x:c>
      <x:c r="I25" s="9" t="n">
        <x:v>2</x:v>
      </x:c>
      <x:c r="J25" s="9" t="n">
        <x:v>2</x:v>
      </x:c>
      <x:c r="K25" s="9" t="n">
        <x:v>3</x:v>
      </x:c>
      <x:c r="L25" s="7" t="n">
        <x:f>IF(OR(E25="未评估",COUNT(F25,H25,I25,J25,K25)&lt;5),"",'评分规则'!$D$5*F25/'评分规则'!$C$5+'评分规则'!$D$6*I25/'评分规则'!$C$6+'评分规则'!$D$7*H25/'评分规则'!$C$7+'评分规则'!$D$8*J25/'评分规则'!$C$8+'评分规则'!$D$9*K25/'评分规则'!$C$9)</x:f>
        <x:v>68.41666666666667</x:v>
      </x:c>
      <x:c r="M25" s="9" t="str">
        <x:v>B</x:v>
      </x:c>
      <x:c r="N25" s="11" t="str">
        <x:v>日文正文首轮精读；非全库人工审计</x:v>
      </x:c>
      <x:c r="O25" s="11" t="str">
        <x:v>受伤后改变练习方法；厘清个人音乐活动与 Leo/need 的优先顺序</x:v>
      </x:c>
      <x:c r="P25" s="11" t="str">
        <x:v>起步与早期原创；外部演出；职业与个人创作</x:v>
      </x:c>
      <x:c r="Q25" s="11" t="str">
        <x:v>练习支持、情绪与自我梳理、职业选择</x:v>
      </x:c>
      <x:c r="R25" s="11" t="str">
        <x:v>https://github.com/ci-ke/ProjectSekai-story/tree/fdfbd5de4f28f21a326d031439feb9b0491111a5</x:v>
      </x:c>
      <x:c r="S25" s="1" t="str">
        <x:v>星乃一歌</x:v>
      </x:c>
      <x:c r="T25" s="1" t="str">
        <x:v>鏡音リン</x:v>
      </x:c>
    </x:row>
    <x:row r="26" ht="26" customHeight="1">
      <x:c r="A26" s="1" t="str">
        <x:v>天马咲希/镜音铃</x:v>
      </x:c>
      <x:c r="B26" s="1" t="str">
        <x:v>Leo/need</x:v>
      </x:c>
      <x:c r="C26" s="1" t="str">
        <x:v>天马咲希</x:v>
      </x:c>
      <x:c r="D26" s="1" t="str">
        <x:v>镜音铃</x:v>
      </x:c>
      <x:c r="E26" s="9" t="str">
        <x:v>未评估</x:v>
      </x:c>
      <x:c r="F26" s="9"/>
      <x:c r="G26" s="9"/>
      <x:c r="H26" s="1" t="str">
        <x:f>IF(G26="","",CHOOSE(MIN(G26,4)+1,'评分规则'!$F$7,'评分规则'!$F$8,'评分规则'!$F$9,'评分规则'!$F$10,'评分规则'!$F$11))</x:f>
      </x:c>
      <x:c r="I26" s="9"/>
      <x:c r="J26" s="9"/>
      <x:c r="K26" s="9"/>
      <x:c r="L26" s="7" t="str">
        <x:f>IF(OR(E26="未评估",COUNT(F26,H26,I26,J26,K26)&lt;5),"",'评分规则'!$D$5*F26/'评分规则'!$C$5+'评分规则'!$D$6*I26/'评分规则'!$C$6+'评分规则'!$D$7*H26/'评分规则'!$C$7+'评分规则'!$D$8*J26/'评分规则'!$C$8+'评分规则'!$D$9*K26/'评分规则'!$C$9)</x:f>
      </x:c>
      <x:c r="M26" s="9"/>
      <x:c r="N26" s="9"/>
      <x:c r="O26" s="9"/>
      <x:c r="P26" s="9"/>
      <x:c r="Q26" s="9"/>
      <x:c r="R26" s="9"/>
      <x:c r="S26" s="1" t="str">
        <x:v>天馬咲希</x:v>
      </x:c>
      <x:c r="T26" s="1" t="str">
        <x:v>鏡音リン</x:v>
      </x:c>
    </x:row>
    <x:row r="27" ht="26" customHeight="1">
      <x:c r="A27" s="1" t="str">
        <x:v>望月穗波/镜音铃</x:v>
      </x:c>
      <x:c r="B27" s="1" t="str">
        <x:v>Leo/need</x:v>
      </x:c>
      <x:c r="C27" s="1" t="str">
        <x:v>望月穗波</x:v>
      </x:c>
      <x:c r="D27" s="1" t="str">
        <x:v>镜音铃</x:v>
      </x:c>
      <x:c r="E27" s="9" t="str">
        <x:v>未评估</x:v>
      </x:c>
      <x:c r="F27" s="9"/>
      <x:c r="G27" s="9"/>
      <x:c r="H27" s="1" t="str">
        <x:f>IF(G27="","",CHOOSE(MIN(G27,4)+1,'评分规则'!$F$7,'评分规则'!$F$8,'评分规则'!$F$9,'评分规则'!$F$10,'评分规则'!$F$11))</x:f>
      </x:c>
      <x:c r="I27" s="9"/>
      <x:c r="J27" s="9"/>
      <x:c r="K27" s="9"/>
      <x:c r="L27" s="7" t="str">
        <x:f>IF(OR(E27="未评估",COUNT(F27,H27,I27,J27,K27)&lt;5),"",'评分规则'!$D$5*F27/'评分规则'!$C$5+'评分规则'!$D$6*I27/'评分规则'!$C$6+'评分规则'!$D$7*H27/'评分规则'!$C$7+'评分规则'!$D$8*J27/'评分规则'!$C$8+'评分规则'!$D$9*K27/'评分规则'!$C$9)</x:f>
      </x:c>
      <x:c r="M27" s="9"/>
      <x:c r="N27" s="9"/>
      <x:c r="O27" s="9"/>
      <x:c r="P27" s="9"/>
      <x:c r="Q27" s="9"/>
      <x:c r="R27" s="9"/>
      <x:c r="S27" s="1" t="str">
        <x:v>望月穂波</x:v>
      </x:c>
      <x:c r="T27" s="1" t="str">
        <x:v>鏡音リン</x:v>
      </x:c>
    </x:row>
    <x:row r="28" ht="26" customHeight="1">
      <x:c r="A28" s="1" t="str">
        <x:v>日野森志步/镜音铃</x:v>
      </x:c>
      <x:c r="B28" s="1" t="str">
        <x:v>Leo/need</x:v>
      </x:c>
      <x:c r="C28" s="1" t="str">
        <x:v>日野森志步</x:v>
      </x:c>
      <x:c r="D28" s="1" t="str">
        <x:v>镜音铃</x:v>
      </x:c>
      <x:c r="E28" s="9" t="str">
        <x:v>未评估</x:v>
      </x:c>
      <x:c r="F28" s="9"/>
      <x:c r="G28" s="9"/>
      <x:c r="H28" s="1" t="str">
        <x:f>IF(G28="","",CHOOSE(MIN(G28,4)+1,'评分规则'!$F$7,'评分规则'!$F$8,'评分规则'!$F$9,'评分规则'!$F$10,'评分规则'!$F$11))</x:f>
      </x:c>
      <x:c r="I28" s="9"/>
      <x:c r="J28" s="9"/>
      <x:c r="K28" s="9"/>
      <x:c r="L28" s="7" t="str">
        <x:f>IF(OR(E28="未评估",COUNT(F28,H28,I28,J28,K28)&lt;5),"",'评分规则'!$D$5*F28/'评分规则'!$C$5+'评分规则'!$D$6*I28/'评分规则'!$C$6+'评分规则'!$D$7*H28/'评分规则'!$C$7+'评分规则'!$D$8*J28/'评分规则'!$C$8+'评分规则'!$D$9*K28/'评分规则'!$C$9)</x:f>
      </x:c>
      <x:c r="M28" s="9"/>
      <x:c r="N28" s="9"/>
      <x:c r="O28" s="9"/>
      <x:c r="P28" s="9"/>
      <x:c r="Q28" s="9"/>
      <x:c r="R28" s="9"/>
      <x:c r="S28" s="1" t="str">
        <x:v>日野森志歩</x:v>
      </x:c>
      <x:c r="T28" s="1" t="str">
        <x:v>鏡音リン</x:v>
      </x:c>
    </x:row>
    <x:row r="29" ht="26" customHeight="1">
      <x:c r="A29" s="1" t="str">
        <x:v>花里实乃理/镜音铃</x:v>
      </x:c>
      <x:c r="B29" s="1" t="str">
        <x:v>MORE MORE JUMP!</x:v>
      </x:c>
      <x:c r="C29" s="1" t="str">
        <x:v>花里实乃理</x:v>
      </x:c>
      <x:c r="D29" s="1" t="str">
        <x:v>镜音铃</x:v>
      </x:c>
      <x:c r="E29" s="9" t="str">
        <x:v>未评估</x:v>
      </x:c>
      <x:c r="F29" s="9"/>
      <x:c r="G29" s="9"/>
      <x:c r="H29" s="1" t="str">
        <x:f>IF(G29="","",CHOOSE(MIN(G29,4)+1,'评分规则'!$F$7,'评分规则'!$F$8,'评分规则'!$F$9,'评分规则'!$F$10,'评分规则'!$F$11))</x:f>
      </x:c>
      <x:c r="I29" s="9"/>
      <x:c r="J29" s="9"/>
      <x:c r="K29" s="9"/>
      <x:c r="L29" s="7" t="str">
        <x:f>IF(OR(E29="未评估",COUNT(F29,H29,I29,J29,K29)&lt;5),"",'评分规则'!$D$5*F29/'评分规则'!$C$5+'评分规则'!$D$6*I29/'评分规则'!$C$6+'评分规则'!$D$7*H29/'评分规则'!$C$7+'评分规则'!$D$8*J29/'评分规则'!$C$8+'评分规则'!$D$9*K29/'评分规则'!$C$9)</x:f>
      </x:c>
      <x:c r="M29" s="9"/>
      <x:c r="N29" s="9"/>
      <x:c r="O29" s="9"/>
      <x:c r="P29" s="9"/>
      <x:c r="Q29" s="9"/>
      <x:c r="R29" s="9"/>
      <x:c r="S29" s="1" t="str">
        <x:v>花里みのり</x:v>
      </x:c>
      <x:c r="T29" s="1" t="str">
        <x:v>鏡音リン</x:v>
      </x:c>
    </x:row>
    <x:row r="30" ht="26" customHeight="1">
      <x:c r="A30" s="1" t="str">
        <x:v>桐谷遥/镜音铃</x:v>
      </x:c>
      <x:c r="B30" s="1" t="str">
        <x:v>MORE MORE JUMP!</x:v>
      </x:c>
      <x:c r="C30" s="1" t="str">
        <x:v>桐谷遥</x:v>
      </x:c>
      <x:c r="D30" s="1" t="str">
        <x:v>镜音铃</x:v>
      </x:c>
      <x:c r="E30" s="9" t="str">
        <x:v>未评估</x:v>
      </x:c>
      <x:c r="F30" s="9"/>
      <x:c r="G30" s="9"/>
      <x:c r="H30" s="1" t="str">
        <x:f>IF(G30="","",CHOOSE(MIN(G30,4)+1,'评分规则'!$F$7,'评分规则'!$F$8,'评分规则'!$F$9,'评分规则'!$F$10,'评分规则'!$F$11))</x:f>
      </x:c>
      <x:c r="I30" s="9"/>
      <x:c r="J30" s="9"/>
      <x:c r="K30" s="9"/>
      <x:c r="L30" s="7" t="str">
        <x:f>IF(OR(E30="未评估",COUNT(F30,H30,I30,J30,K30)&lt;5),"",'评分规则'!$D$5*F30/'评分规则'!$C$5+'评分规则'!$D$6*I30/'评分规则'!$C$6+'评分规则'!$D$7*H30/'评分规则'!$C$7+'评分规则'!$D$8*J30/'评分规则'!$C$8+'评分规则'!$D$9*K30/'评分规则'!$C$9)</x:f>
      </x:c>
      <x:c r="M30" s="9"/>
      <x:c r="N30" s="9"/>
      <x:c r="O30" s="9"/>
      <x:c r="P30" s="9"/>
      <x:c r="Q30" s="9"/>
      <x:c r="R30" s="9"/>
      <x:c r="S30" s="1" t="str">
        <x:v>桐谷遥</x:v>
      </x:c>
      <x:c r="T30" s="1" t="str">
        <x:v>鏡音リン</x:v>
      </x:c>
    </x:row>
    <x:row r="31" ht="26" customHeight="1">
      <x:c r="A31" s="1" t="str">
        <x:v>桃井爱莉/镜音铃</x:v>
      </x:c>
      <x:c r="B31" s="1" t="str">
        <x:v>MORE MORE JUMP!</x:v>
      </x:c>
      <x:c r="C31" s="1" t="str">
        <x:v>桃井爱莉</x:v>
      </x:c>
      <x:c r="D31" s="1" t="str">
        <x:v>镜音铃</x:v>
      </x:c>
      <x:c r="E31" s="9" t="str">
        <x:v>未评估</x:v>
      </x:c>
      <x:c r="F31" s="9"/>
      <x:c r="G31" s="9"/>
      <x:c r="H31" s="1" t="str">
        <x:f>IF(G31="","",CHOOSE(MIN(G31,4)+1,'评分规则'!$F$7,'评分规则'!$F$8,'评分规则'!$F$9,'评分规则'!$F$10,'评分规则'!$F$11))</x:f>
      </x:c>
      <x:c r="I31" s="9"/>
      <x:c r="J31" s="9"/>
      <x:c r="K31" s="9"/>
      <x:c r="L31" s="7" t="str">
        <x:f>IF(OR(E31="未评估",COUNT(F31,H31,I31,J31,K31)&lt;5),"",'评分规则'!$D$5*F31/'评分规则'!$C$5+'评分规则'!$D$6*I31/'评分规则'!$C$6+'评分规则'!$D$7*H31/'评分规则'!$C$7+'评分规则'!$D$8*J31/'评分规则'!$C$8+'评分规则'!$D$9*K31/'评分规则'!$C$9)</x:f>
      </x:c>
      <x:c r="M31" s="9"/>
      <x:c r="N31" s="9"/>
      <x:c r="O31" s="9"/>
      <x:c r="P31" s="9"/>
      <x:c r="Q31" s="9"/>
      <x:c r="R31" s="9"/>
      <x:c r="S31" s="1" t="str">
        <x:v>桃井愛莉</x:v>
      </x:c>
      <x:c r="T31" s="1" t="str">
        <x:v>鏡音リン</x:v>
      </x:c>
    </x:row>
    <x:row r="32" ht="26" customHeight="1">
      <x:c r="A32" s="1" t="str">
        <x:v>日野森雫/镜音铃</x:v>
      </x:c>
      <x:c r="B32" s="1" t="str">
        <x:v>MORE MORE JUMP!</x:v>
      </x:c>
      <x:c r="C32" s="1" t="str">
        <x:v>日野森雫</x:v>
      </x:c>
      <x:c r="D32" s="1" t="str">
        <x:v>镜音铃</x:v>
      </x:c>
      <x:c r="E32" s="9" t="str">
        <x:v>未评估</x:v>
      </x:c>
      <x:c r="F32" s="9"/>
      <x:c r="G32" s="9"/>
      <x:c r="H32" s="1" t="str">
        <x:f>IF(G32="","",CHOOSE(MIN(G32,4)+1,'评分规则'!$F$7,'评分规则'!$F$8,'评分规则'!$F$9,'评分规则'!$F$10,'评分规则'!$F$11))</x:f>
      </x:c>
      <x:c r="I32" s="9"/>
      <x:c r="J32" s="9"/>
      <x:c r="K32" s="9"/>
      <x:c r="L32" s="7" t="str">
        <x:f>IF(OR(E32="未评估",COUNT(F32,H32,I32,J32,K32)&lt;5),"",'评分规则'!$D$5*F32/'评分规则'!$C$5+'评分规则'!$D$6*I32/'评分规则'!$C$6+'评分规则'!$D$7*H32/'评分规则'!$C$7+'评分规则'!$D$8*J32/'评分规则'!$C$8+'评分规则'!$D$9*K32/'评分规则'!$C$9)</x:f>
      </x:c>
      <x:c r="M32" s="9"/>
      <x:c r="N32" s="9"/>
      <x:c r="O32" s="9"/>
      <x:c r="P32" s="9"/>
      <x:c r="Q32" s="9"/>
      <x:c r="R32" s="9"/>
      <x:c r="S32" s="1" t="str">
        <x:v>日野森雫</x:v>
      </x:c>
      <x:c r="T32" s="1" t="str">
        <x:v>鏡音リン</x:v>
      </x:c>
    </x:row>
    <x:row r="33" ht="26" customHeight="1">
      <x:c r="A33" s="1" t="str">
        <x:v>小豆泽心羽/镜音铃</x:v>
      </x:c>
      <x:c r="B33" s="1" t="str">
        <x:v>Vivid BAD SQUAD</x:v>
      </x:c>
      <x:c r="C33" s="1" t="str">
        <x:v>小豆泽心羽</x:v>
      </x:c>
      <x:c r="D33" s="1" t="str">
        <x:v>镜音铃</x:v>
      </x:c>
      <x:c r="E33" s="9" t="str">
        <x:v>未评估</x:v>
      </x:c>
      <x:c r="F33" s="9"/>
      <x:c r="G33" s="9"/>
      <x:c r="H33" s="1" t="str">
        <x:f>IF(G33="","",CHOOSE(MIN(G33,4)+1,'评分规则'!$F$7,'评分规则'!$F$8,'评分规则'!$F$9,'评分规则'!$F$10,'评分规则'!$F$11))</x:f>
      </x:c>
      <x:c r="I33" s="9"/>
      <x:c r="J33" s="9"/>
      <x:c r="K33" s="9"/>
      <x:c r="L33" s="7" t="str">
        <x:f>IF(OR(E33="未评估",COUNT(F33,H33,I33,J33,K33)&lt;5),"",'评分规则'!$D$5*F33/'评分规则'!$C$5+'评分规则'!$D$6*I33/'评分规则'!$C$6+'评分规则'!$D$7*H33/'评分规则'!$C$7+'评分规则'!$D$8*J33/'评分规则'!$C$8+'评分规则'!$D$9*K33/'评分规则'!$C$9)</x:f>
      </x:c>
      <x:c r="M33" s="9"/>
      <x:c r="N33" s="9"/>
      <x:c r="O33" s="9"/>
      <x:c r="P33" s="9"/>
      <x:c r="Q33" s="9"/>
      <x:c r="R33" s="9"/>
      <x:c r="S33" s="1" t="str">
        <x:v>小豆沢こはね</x:v>
      </x:c>
      <x:c r="T33" s="1" t="str">
        <x:v>鏡音リン</x:v>
      </x:c>
    </x:row>
    <x:row r="34" ht="26" customHeight="1">
      <x:c r="A34" s="1" t="str">
        <x:v>白石杏/镜音铃</x:v>
      </x:c>
      <x:c r="B34" s="1" t="str">
        <x:v>Vivid BAD SQUAD</x:v>
      </x:c>
      <x:c r="C34" s="1" t="str">
        <x:v>白石杏</x:v>
      </x:c>
      <x:c r="D34" s="1" t="str">
        <x:v>镜音铃</x:v>
      </x:c>
      <x:c r="E34" s="9" t="str">
        <x:v>未评估</x:v>
      </x:c>
      <x:c r="F34" s="9"/>
      <x:c r="G34" s="9"/>
      <x:c r="H34" s="1" t="str">
        <x:f>IF(G34="","",CHOOSE(MIN(G34,4)+1,'评分规则'!$F$7,'评分规则'!$F$8,'评分规则'!$F$9,'评分规则'!$F$10,'评分规则'!$F$11))</x:f>
      </x:c>
      <x:c r="I34" s="9"/>
      <x:c r="J34" s="9"/>
      <x:c r="K34" s="9"/>
      <x:c r="L34" s="7" t="str">
        <x:f>IF(OR(E34="未评估",COUNT(F34,H34,I34,J34,K34)&lt;5),"",'评分规则'!$D$5*F34/'评分规则'!$C$5+'评分规则'!$D$6*I34/'评分规则'!$C$6+'评分规则'!$D$7*H34/'评分规则'!$C$7+'评分规则'!$D$8*J34/'评分规则'!$C$8+'评分规则'!$D$9*K34/'评分规则'!$C$9)</x:f>
      </x:c>
      <x:c r="M34" s="9"/>
      <x:c r="N34" s="9"/>
      <x:c r="O34" s="9"/>
      <x:c r="P34" s="9"/>
      <x:c r="Q34" s="9"/>
      <x:c r="R34" s="9"/>
      <x:c r="S34" s="1" t="str">
        <x:v>白石杏</x:v>
      </x:c>
      <x:c r="T34" s="1" t="str">
        <x:v>鏡音リン</x:v>
      </x:c>
    </x:row>
    <x:row r="35" ht="26" customHeight="1">
      <x:c r="A35" s="1" t="str">
        <x:v>东云彰人/镜音铃</x:v>
      </x:c>
      <x:c r="B35" s="1" t="str">
        <x:v>Vivid BAD SQUAD</x:v>
      </x:c>
      <x:c r="C35" s="1" t="str">
        <x:v>东云彰人</x:v>
      </x:c>
      <x:c r="D35" s="1" t="str">
        <x:v>镜音铃</x:v>
      </x:c>
      <x:c r="E35" s="9" t="str">
        <x:v>未评估</x:v>
      </x:c>
      <x:c r="F35" s="9"/>
      <x:c r="G35" s="9"/>
      <x:c r="H35" s="1" t="str">
        <x:f>IF(G35="","",CHOOSE(MIN(G35,4)+1,'评分规则'!$F$7,'评分规则'!$F$8,'评分规则'!$F$9,'评分规则'!$F$10,'评分规则'!$F$11))</x:f>
      </x:c>
      <x:c r="I35" s="9"/>
      <x:c r="J35" s="9"/>
      <x:c r="K35" s="9"/>
      <x:c r="L35" s="7" t="str">
        <x:f>IF(OR(E35="未评估",COUNT(F35,H35,I35,J35,K35)&lt;5),"",'评分规则'!$D$5*F35/'评分规则'!$C$5+'评分规则'!$D$6*I35/'评分规则'!$C$6+'评分规则'!$D$7*H35/'评分规则'!$C$7+'评分规则'!$D$8*J35/'评分规则'!$C$8+'评分规则'!$D$9*K35/'评分规则'!$C$9)</x:f>
      </x:c>
      <x:c r="M35" s="9"/>
      <x:c r="N35" s="9"/>
      <x:c r="O35" s="9"/>
      <x:c r="P35" s="9"/>
      <x:c r="Q35" s="9"/>
      <x:c r="R35" s="9"/>
      <x:c r="S35" s="1" t="str">
        <x:v>東雲彰人</x:v>
      </x:c>
      <x:c r="T35" s="1" t="str">
        <x:v>鏡音リン</x:v>
      </x:c>
    </x:row>
    <x:row r="36" ht="26" customHeight="1">
      <x:c r="A36" s="1" t="str">
        <x:v>青柳冬弥/镜音铃</x:v>
      </x:c>
      <x:c r="B36" s="1" t="str">
        <x:v>Vivid BAD SQUAD</x:v>
      </x:c>
      <x:c r="C36" s="1" t="str">
        <x:v>青柳冬弥</x:v>
      </x:c>
      <x:c r="D36" s="1" t="str">
        <x:v>镜音铃</x:v>
      </x:c>
      <x:c r="E36" s="9" t="str">
        <x:v>未评估</x:v>
      </x:c>
      <x:c r="F36" s="9"/>
      <x:c r="G36" s="9"/>
      <x:c r="H36" s="1" t="str">
        <x:f>IF(G36="","",CHOOSE(MIN(G36,4)+1,'评分规则'!$F$7,'评分规则'!$F$8,'评分规则'!$F$9,'评分规则'!$F$10,'评分规则'!$F$11))</x:f>
      </x:c>
      <x:c r="I36" s="9"/>
      <x:c r="J36" s="9"/>
      <x:c r="K36" s="9"/>
      <x:c r="L36" s="7" t="str">
        <x:f>IF(OR(E36="未评估",COUNT(F36,H36,I36,J36,K36)&lt;5),"",'评分规则'!$D$5*F36/'评分规则'!$C$5+'评分规则'!$D$6*I36/'评分规则'!$C$6+'评分规则'!$D$7*H36/'评分规则'!$C$7+'评分规则'!$D$8*J36/'评分规则'!$C$8+'评分规则'!$D$9*K36/'评分规则'!$C$9)</x:f>
      </x:c>
      <x:c r="M36" s="9"/>
      <x:c r="N36" s="9"/>
      <x:c r="O36" s="9"/>
      <x:c r="P36" s="9"/>
      <x:c r="Q36" s="9"/>
      <x:c r="R36" s="9"/>
      <x:c r="S36" s="1" t="str">
        <x:v>青柳冬弥</x:v>
      </x:c>
      <x:c r="T36" s="1" t="str">
        <x:v>鏡音リン</x:v>
      </x:c>
    </x:row>
    <x:row r="37" ht="26" customHeight="1">
      <x:c r="A37" s="1" t="str">
        <x:v>天马司/镜音铃</x:v>
      </x:c>
      <x:c r="B37" s="1" t="str">
        <x:v>Wonderlands×Showtime</x:v>
      </x:c>
      <x:c r="C37" s="1" t="str">
        <x:v>天马司</x:v>
      </x:c>
      <x:c r="D37" s="1" t="str">
        <x:v>镜音铃</x:v>
      </x:c>
      <x:c r="E37" s="9" t="str">
        <x:v>未评估</x:v>
      </x:c>
      <x:c r="F37" s="9"/>
      <x:c r="G37" s="9"/>
      <x:c r="H37" s="1" t="str">
        <x:f>IF(G37="","",CHOOSE(MIN(G37,4)+1,'评分规则'!$F$7,'评分规则'!$F$8,'评分规则'!$F$9,'评分规则'!$F$10,'评分规则'!$F$11))</x:f>
      </x:c>
      <x:c r="I37" s="9"/>
      <x:c r="J37" s="9"/>
      <x:c r="K37" s="9"/>
      <x:c r="L37" s="7" t="str">
        <x:f>IF(OR(E37="未评估",COUNT(F37,H37,I37,J37,K37)&lt;5),"",'评分规则'!$D$5*F37/'评分规则'!$C$5+'评分规则'!$D$6*I37/'评分规则'!$C$6+'评分规则'!$D$7*H37/'评分规则'!$C$7+'评分规则'!$D$8*J37/'评分规则'!$C$8+'评分规则'!$D$9*K37/'评分规则'!$C$9)</x:f>
      </x:c>
      <x:c r="M37" s="9"/>
      <x:c r="N37" s="9"/>
      <x:c r="O37" s="9"/>
      <x:c r="P37" s="9"/>
      <x:c r="Q37" s="9"/>
      <x:c r="R37" s="9"/>
      <x:c r="S37" s="1" t="str">
        <x:v>天馬司</x:v>
      </x:c>
      <x:c r="T37" s="1" t="str">
        <x:v>鏡音リン</x:v>
      </x:c>
    </x:row>
    <x:row r="38" ht="26" customHeight="1">
      <x:c r="A38" s="1" t="str">
        <x:v>凤笑梦/镜音铃</x:v>
      </x:c>
      <x:c r="B38" s="1" t="str">
        <x:v>Wonderlands×Showtime</x:v>
      </x:c>
      <x:c r="C38" s="1" t="str">
        <x:v>凤笑梦</x:v>
      </x:c>
      <x:c r="D38" s="1" t="str">
        <x:v>镜音铃</x:v>
      </x:c>
      <x:c r="E38" s="9" t="str">
        <x:v>未评估</x:v>
      </x:c>
      <x:c r="F38" s="9"/>
      <x:c r="G38" s="9"/>
      <x:c r="H38" s="1" t="str">
        <x:f>IF(G38="","",CHOOSE(MIN(G38,4)+1,'评分规则'!$F$7,'评分规则'!$F$8,'评分规则'!$F$9,'评分规则'!$F$10,'评分规则'!$F$11))</x:f>
      </x:c>
      <x:c r="I38" s="9"/>
      <x:c r="J38" s="9"/>
      <x:c r="K38" s="9"/>
      <x:c r="L38" s="7" t="str">
        <x:f>IF(OR(E38="未评估",COUNT(F38,H38,I38,J38,K38)&lt;5),"",'评分规则'!$D$5*F38/'评分规则'!$C$5+'评分规则'!$D$6*I38/'评分规则'!$C$6+'评分规则'!$D$7*H38/'评分规则'!$C$7+'评分规则'!$D$8*J38/'评分规则'!$C$8+'评分规则'!$D$9*K38/'评分规则'!$C$9)</x:f>
      </x:c>
      <x:c r="M38" s="9"/>
      <x:c r="N38" s="9"/>
      <x:c r="O38" s="9"/>
      <x:c r="P38" s="9"/>
      <x:c r="Q38" s="9"/>
      <x:c r="R38" s="9"/>
      <x:c r="S38" s="1" t="str">
        <x:v>鳳えむ</x:v>
      </x:c>
      <x:c r="T38" s="1" t="str">
        <x:v>鏡音リン</x:v>
      </x:c>
    </x:row>
    <x:row r="39" ht="26" customHeight="1">
      <x:c r="A39" s="1" t="str">
        <x:v>草薙宁宁/镜音铃</x:v>
      </x:c>
      <x:c r="B39" s="1" t="str">
        <x:v>Wonderlands×Showtime</x:v>
      </x:c>
      <x:c r="C39" s="1" t="str">
        <x:v>草薙宁宁</x:v>
      </x:c>
      <x:c r="D39" s="1" t="str">
        <x:v>镜音铃</x:v>
      </x:c>
      <x:c r="E39" s="9" t="str">
        <x:v>未评估</x:v>
      </x:c>
      <x:c r="F39" s="9"/>
      <x:c r="G39" s="9"/>
      <x:c r="H39" s="1" t="str">
        <x:f>IF(G39="","",CHOOSE(MIN(G39,4)+1,'评分规则'!$F$7,'评分规则'!$F$8,'评分规则'!$F$9,'评分规则'!$F$10,'评分规则'!$F$11))</x:f>
      </x:c>
      <x:c r="I39" s="9"/>
      <x:c r="J39" s="9"/>
      <x:c r="K39" s="9"/>
      <x:c r="L39" s="7" t="str">
        <x:f>IF(OR(E39="未评估",COUNT(F39,H39,I39,J39,K39)&lt;5),"",'评分规则'!$D$5*F39/'评分规则'!$C$5+'评分规则'!$D$6*I39/'评分规则'!$C$6+'评分规则'!$D$7*H39/'评分规则'!$C$7+'评分规则'!$D$8*J39/'评分规则'!$C$8+'评分规则'!$D$9*K39/'评分规则'!$C$9)</x:f>
      </x:c>
      <x:c r="M39" s="9"/>
      <x:c r="N39" s="9"/>
      <x:c r="O39" s="9"/>
      <x:c r="P39" s="9"/>
      <x:c r="Q39" s="9"/>
      <x:c r="R39" s="9"/>
      <x:c r="S39" s="1" t="str">
        <x:v>草薙寧々</x:v>
      </x:c>
      <x:c r="T39" s="1" t="str">
        <x:v>鏡音リン</x:v>
      </x:c>
    </x:row>
    <x:row r="40" ht="26" customHeight="1">
      <x:c r="A40" s="1" t="str">
        <x:v>神代类/镜音铃</x:v>
      </x:c>
      <x:c r="B40" s="1" t="str">
        <x:v>Wonderlands×Showtime</x:v>
      </x:c>
      <x:c r="C40" s="1" t="str">
        <x:v>神代类</x:v>
      </x:c>
      <x:c r="D40" s="1" t="str">
        <x:v>镜音铃</x:v>
      </x:c>
      <x:c r="E40" s="9" t="str">
        <x:v>未评估</x:v>
      </x:c>
      <x:c r="F40" s="9"/>
      <x:c r="G40" s="9"/>
      <x:c r="H40" s="1" t="str">
        <x:f>IF(G40="","",CHOOSE(MIN(G40,4)+1,'评分规则'!$F$7,'评分规则'!$F$8,'评分规则'!$F$9,'评分规则'!$F$10,'评分规则'!$F$11))</x:f>
      </x:c>
      <x:c r="I40" s="9"/>
      <x:c r="J40" s="9"/>
      <x:c r="K40" s="9"/>
      <x:c r="L40" s="7" t="str">
        <x:f>IF(OR(E40="未评估",COUNT(F40,H40,I40,J40,K40)&lt;5),"",'评分规则'!$D$5*F40/'评分规则'!$C$5+'评分规则'!$D$6*I40/'评分规则'!$C$6+'评分规则'!$D$7*H40/'评分规则'!$C$7+'评分规则'!$D$8*J40/'评分规则'!$C$8+'评分规则'!$D$9*K40/'评分规则'!$C$9)</x:f>
      </x:c>
      <x:c r="M40" s="9"/>
      <x:c r="N40" s="9"/>
      <x:c r="O40" s="9"/>
      <x:c r="P40" s="9"/>
      <x:c r="Q40" s="9"/>
      <x:c r="R40" s="9"/>
      <x:c r="S40" s="1" t="str">
        <x:v>神代類</x:v>
      </x:c>
      <x:c r="T40" s="1" t="str">
        <x:v>鏡音リン</x:v>
      </x:c>
    </x:row>
    <x:row r="41" ht="26" customHeight="1">
      <x:c r="A41" s="1" t="str">
        <x:v>宵崎奏/镜音铃</x:v>
      </x:c>
      <x:c r="B41" s="1" t="str">
        <x:v>25时，Nightcord见。</x:v>
      </x:c>
      <x:c r="C41" s="1" t="str">
        <x:v>宵崎奏</x:v>
      </x:c>
      <x:c r="D41" s="1" t="str">
        <x:v>镜音铃</x:v>
      </x:c>
      <x:c r="E41" s="9" t="str">
        <x:v>未评估</x:v>
      </x:c>
      <x:c r="F41" s="9"/>
      <x:c r="G41" s="9"/>
      <x:c r="H41" s="1" t="str">
        <x:f>IF(G41="","",CHOOSE(MIN(G41,4)+1,'评分规则'!$F$7,'评分规则'!$F$8,'评分规则'!$F$9,'评分规则'!$F$10,'评分规则'!$F$11))</x:f>
      </x:c>
      <x:c r="I41" s="9"/>
      <x:c r="J41" s="9"/>
      <x:c r="K41" s="9"/>
      <x:c r="L41" s="7" t="str">
        <x:f>IF(OR(E41="未评估",COUNT(F41,H41,I41,J41,K41)&lt;5),"",'评分规则'!$D$5*F41/'评分规则'!$C$5+'评分规则'!$D$6*I41/'评分规则'!$C$6+'评分规则'!$D$7*H41/'评分规则'!$C$7+'评分规则'!$D$8*J41/'评分规则'!$C$8+'评分规则'!$D$9*K41/'评分规则'!$C$9)</x:f>
      </x:c>
      <x:c r="M41" s="9"/>
      <x:c r="N41" s="9"/>
      <x:c r="O41" s="9"/>
      <x:c r="P41" s="9"/>
      <x:c r="Q41" s="9"/>
      <x:c r="R41" s="9"/>
      <x:c r="S41" s="1" t="str">
        <x:v>宵崎奏</x:v>
      </x:c>
      <x:c r="T41" s="1" t="str">
        <x:v>鏡音リン</x:v>
      </x:c>
    </x:row>
    <x:row r="42" ht="26" customHeight="1">
      <x:c r="A42" s="1" t="str">
        <x:v>朝比奈真冬/镜音铃</x:v>
      </x:c>
      <x:c r="B42" s="1" t="str">
        <x:v>25时，Nightcord见。</x:v>
      </x:c>
      <x:c r="C42" s="1" t="str">
        <x:v>朝比奈真冬</x:v>
      </x:c>
      <x:c r="D42" s="1" t="str">
        <x:v>镜音铃</x:v>
      </x:c>
      <x:c r="E42" s="9" t="str">
        <x:v>未评估</x:v>
      </x:c>
      <x:c r="F42" s="9"/>
      <x:c r="G42" s="9"/>
      <x:c r="H42" s="1" t="str">
        <x:f>IF(G42="","",CHOOSE(MIN(G42,4)+1,'评分规则'!$F$7,'评分规则'!$F$8,'评分规则'!$F$9,'评分规则'!$F$10,'评分规则'!$F$11))</x:f>
      </x:c>
      <x:c r="I42" s="9"/>
      <x:c r="J42" s="9"/>
      <x:c r="K42" s="9"/>
      <x:c r="L42" s="7" t="str">
        <x:f>IF(OR(E42="未评估",COUNT(F42,H42,I42,J42,K42)&lt;5),"",'评分规则'!$D$5*F42/'评分规则'!$C$5+'评分规则'!$D$6*I42/'评分规则'!$C$6+'评分规则'!$D$7*H42/'评分规则'!$C$7+'评分规则'!$D$8*J42/'评分规则'!$C$8+'评分规则'!$D$9*K42/'评分规则'!$C$9)</x:f>
      </x:c>
      <x:c r="M42" s="9"/>
      <x:c r="N42" s="9"/>
      <x:c r="O42" s="9"/>
      <x:c r="P42" s="9"/>
      <x:c r="Q42" s="9"/>
      <x:c r="R42" s="9"/>
      <x:c r="S42" s="1" t="str">
        <x:v>朝比奈まふゆ</x:v>
      </x:c>
      <x:c r="T42" s="1" t="str">
        <x:v>鏡音リン</x:v>
      </x:c>
    </x:row>
    <x:row r="43" ht="26" customHeight="1">
      <x:c r="A43" s="1" t="str">
        <x:v>东云绘名/镜音铃</x:v>
      </x:c>
      <x:c r="B43" s="1" t="str">
        <x:v>25时，Nightcord见。</x:v>
      </x:c>
      <x:c r="C43" s="1" t="str">
        <x:v>东云绘名</x:v>
      </x:c>
      <x:c r="D43" s="1" t="str">
        <x:v>镜音铃</x:v>
      </x:c>
      <x:c r="E43" s="9" t="str">
        <x:v>未评估</x:v>
      </x:c>
      <x:c r="F43" s="9"/>
      <x:c r="G43" s="9"/>
      <x:c r="H43" s="1" t="str">
        <x:f>IF(G43="","",CHOOSE(MIN(G43,4)+1,'评分规则'!$F$7,'评分规则'!$F$8,'评分规则'!$F$9,'评分规则'!$F$10,'评分规则'!$F$11))</x:f>
      </x:c>
      <x:c r="I43" s="9"/>
      <x:c r="J43" s="9"/>
      <x:c r="K43" s="9"/>
      <x:c r="L43" s="7" t="str">
        <x:f>IF(OR(E43="未评估",COUNT(F43,H43,I43,J43,K43)&lt;5),"",'评分规则'!$D$5*F43/'评分规则'!$C$5+'评分规则'!$D$6*I43/'评分规则'!$C$6+'评分规则'!$D$7*H43/'评分规则'!$C$7+'评分规则'!$D$8*J43/'评分规则'!$C$8+'评分规则'!$D$9*K43/'评分规则'!$C$9)</x:f>
      </x:c>
      <x:c r="M43" s="9"/>
      <x:c r="N43" s="9"/>
      <x:c r="O43" s="9"/>
      <x:c r="P43" s="9"/>
      <x:c r="Q43" s="9"/>
      <x:c r="R43" s="9"/>
      <x:c r="S43" s="1" t="str">
        <x:v>東雲絵名</x:v>
      </x:c>
      <x:c r="T43" s="1" t="str">
        <x:v>鏡音リン</x:v>
      </x:c>
    </x:row>
    <x:row r="44" ht="26" customHeight="1">
      <x:c r="A44" s="1" t="str">
        <x:v>晓山瑞希/镜音铃</x:v>
      </x:c>
      <x:c r="B44" s="1" t="str">
        <x:v>25时，Nightcord见。</x:v>
      </x:c>
      <x:c r="C44" s="1" t="str">
        <x:v>晓山瑞希</x:v>
      </x:c>
      <x:c r="D44" s="1" t="str">
        <x:v>镜音铃</x:v>
      </x:c>
      <x:c r="E44" s="9" t="str">
        <x:v>未评估</x:v>
      </x:c>
      <x:c r="F44" s="9"/>
      <x:c r="G44" s="9"/>
      <x:c r="H44" s="1" t="str">
        <x:f>IF(G44="","",CHOOSE(MIN(G44,4)+1,'评分规则'!$F$7,'评分规则'!$F$8,'评分规则'!$F$9,'评分规则'!$F$10,'评分规则'!$F$11))</x:f>
      </x:c>
      <x:c r="I44" s="9"/>
      <x:c r="J44" s="9"/>
      <x:c r="K44" s="9"/>
      <x:c r="L44" s="7" t="str">
        <x:f>IF(OR(E44="未评估",COUNT(F44,H44,I44,J44,K44)&lt;5),"",'评分规则'!$D$5*F44/'评分规则'!$C$5+'评分规则'!$D$6*I44/'评分规则'!$C$6+'评分规则'!$D$7*H44/'评分规则'!$C$7+'评分规则'!$D$8*J44/'评分规则'!$C$8+'评分规则'!$D$9*K44/'评分规则'!$C$9)</x:f>
      </x:c>
      <x:c r="M44" s="9"/>
      <x:c r="N44" s="9"/>
      <x:c r="O44" s="9"/>
      <x:c r="P44" s="9"/>
      <x:c r="Q44" s="9"/>
      <x:c r="R44" s="9"/>
      <x:c r="S44" s="1" t="str">
        <x:v>暁山瑞希</x:v>
      </x:c>
      <x:c r="T44" s="1" t="str">
        <x:v>鏡音リン</x:v>
      </x:c>
    </x:row>
    <x:row r="45" ht="115" customHeight="1">
      <x:c r="A45" s="1" t="str">
        <x:v>星乃一歌/镜音连</x:v>
      </x:c>
      <x:c r="B45" s="1" t="str">
        <x:v>Leo/need</x:v>
      </x:c>
      <x:c r="C45" s="1" t="str">
        <x:v>星乃一歌</x:v>
      </x:c>
      <x:c r="D45" s="1" t="str">
        <x:v>镜音连</x:v>
      </x:c>
      <x:c r="E45" s="9" t="str">
        <x:v>核查中</x:v>
      </x:c>
      <x:c r="F45" s="9" t="n">
        <x:v>3</x:v>
      </x:c>
      <x:c r="G45" s="9" t="n">
        <x:v>2</x:v>
      </x:c>
      <x:c r="H45" s="1" t="n">
        <x:f>IF(G45="","",CHOOSE(MIN(G45,4)+1,'评分规则'!$F$7,'评分规则'!$F$8,'评分规则'!$F$9,'评分规则'!$F$10,'评分规则'!$F$11))</x:f>
        <x:v>7</x:v>
      </x:c>
      <x:c r="I45" s="9" t="n">
        <x:v>2</x:v>
      </x:c>
      <x:c r="J45" s="9" t="n">
        <x:v>2</x:v>
      </x:c>
      <x:c r="K45" s="9" t="n">
        <x:v>3</x:v>
      </x:c>
      <x:c r="L45" s="7" t="n">
        <x:f>IF(OR(E45="未评估",COUNT(F45,H45,I45,J45,K45)&lt;5),"",'评分规则'!$D$5*F45/'评分规则'!$C$5+'评分规则'!$D$6*I45/'评分规则'!$C$6+'评分规则'!$D$7*H45/'评分规则'!$C$7+'评分规则'!$D$8*J45/'评分规则'!$C$8+'评分规则'!$D$9*K45/'评分规则'!$C$9)</x:f>
        <x:v>68.41666666666667</x:v>
      </x:c>
      <x:c r="M45" s="9" t="str">
        <x:v>B</x:v>
      </x:c>
      <x:c r="N45" s="11" t="str">
        <x:v>日文正文首轮精读；非全库人工审计</x:v>
      </x:c>
      <x:c r="O45" s="11" t="str">
        <x:v>通过回顾 Miku 经历寻找歌声使用与创作方针的答案；厘清个人音乐活动与 Leo/need 的优先顺序</x:v>
      </x:c>
      <x:c r="P45" s="11" t="str">
        <x:v>起步与早期原创；外部演出；职业与个人创作</x:v>
      </x:c>
      <x:c r="Q45" s="11" t="str">
        <x:v>创作与排练支持、自我梳理、职业选择</x:v>
      </x:c>
      <x:c r="R45" s="11" t="str">
        <x:v>https://github.com/ci-ke/ProjectSekai-story/tree/fdfbd5de4f28f21a326d031439feb9b0491111a5</x:v>
      </x:c>
      <x:c r="S45" s="1" t="str">
        <x:v>星乃一歌</x:v>
      </x:c>
      <x:c r="T45" s="1" t="str">
        <x:v>鏡音レン</x:v>
      </x:c>
    </x:row>
    <x:row r="46" ht="26" customHeight="1">
      <x:c r="A46" s="1" t="str">
        <x:v>天马咲希/镜音连</x:v>
      </x:c>
      <x:c r="B46" s="1" t="str">
        <x:v>Leo/need</x:v>
      </x:c>
      <x:c r="C46" s="1" t="str">
        <x:v>天马咲希</x:v>
      </x:c>
      <x:c r="D46" s="1" t="str">
        <x:v>镜音连</x:v>
      </x:c>
      <x:c r="E46" s="9" t="str">
        <x:v>未评估</x:v>
      </x:c>
      <x:c r="F46" s="9"/>
      <x:c r="G46" s="9"/>
      <x:c r="H46" s="1" t="str">
        <x:f>IF(G46="","",CHOOSE(MIN(G46,4)+1,'评分规则'!$F$7,'评分规则'!$F$8,'评分规则'!$F$9,'评分规则'!$F$10,'评分规则'!$F$11))</x:f>
      </x:c>
      <x:c r="I46" s="9"/>
      <x:c r="J46" s="9"/>
      <x:c r="K46" s="9"/>
      <x:c r="L46" s="7" t="str">
        <x:f>IF(OR(E46="未评估",COUNT(F46,H46,I46,J46,K46)&lt;5),"",'评分规则'!$D$5*F46/'评分规则'!$C$5+'评分规则'!$D$6*I46/'评分规则'!$C$6+'评分规则'!$D$7*H46/'评分规则'!$C$7+'评分规则'!$D$8*J46/'评分规则'!$C$8+'评分规则'!$D$9*K46/'评分规则'!$C$9)</x:f>
      </x:c>
      <x:c r="M46" s="9"/>
      <x:c r="N46" s="9"/>
      <x:c r="O46" s="9"/>
      <x:c r="P46" s="9"/>
      <x:c r="Q46" s="9"/>
      <x:c r="R46" s="9"/>
      <x:c r="S46" s="1" t="str">
        <x:v>天馬咲希</x:v>
      </x:c>
      <x:c r="T46" s="1" t="str">
        <x:v>鏡音レン</x:v>
      </x:c>
    </x:row>
    <x:row r="47" ht="26" customHeight="1">
      <x:c r="A47" s="1" t="str">
        <x:v>望月穗波/镜音连</x:v>
      </x:c>
      <x:c r="B47" s="1" t="str">
        <x:v>Leo/need</x:v>
      </x:c>
      <x:c r="C47" s="1" t="str">
        <x:v>望月穗波</x:v>
      </x:c>
      <x:c r="D47" s="1" t="str">
        <x:v>镜音连</x:v>
      </x:c>
      <x:c r="E47" s="9" t="str">
        <x:v>未评估</x:v>
      </x:c>
      <x:c r="F47" s="9"/>
      <x:c r="G47" s="9"/>
      <x:c r="H47" s="1" t="str">
        <x:f>IF(G47="","",CHOOSE(MIN(G47,4)+1,'评分规则'!$F$7,'评分规则'!$F$8,'评分规则'!$F$9,'评分规则'!$F$10,'评分规则'!$F$11))</x:f>
      </x:c>
      <x:c r="I47" s="9"/>
      <x:c r="J47" s="9"/>
      <x:c r="K47" s="9"/>
      <x:c r="L47" s="7" t="str">
        <x:f>IF(OR(E47="未评估",COUNT(F47,H47,I47,J47,K47)&lt;5),"",'评分规则'!$D$5*F47/'评分规则'!$C$5+'评分规则'!$D$6*I47/'评分规则'!$C$6+'评分规则'!$D$7*H47/'评分规则'!$C$7+'评分规则'!$D$8*J47/'评分规则'!$C$8+'评分规则'!$D$9*K47/'评分规则'!$C$9)</x:f>
      </x:c>
      <x:c r="M47" s="9"/>
      <x:c r="N47" s="9"/>
      <x:c r="O47" s="9"/>
      <x:c r="P47" s="9"/>
      <x:c r="Q47" s="9"/>
      <x:c r="R47" s="9"/>
      <x:c r="S47" s="1" t="str">
        <x:v>望月穂波</x:v>
      </x:c>
      <x:c r="T47" s="1" t="str">
        <x:v>鏡音レン</x:v>
      </x:c>
    </x:row>
    <x:row r="48" ht="26" customHeight="1">
      <x:c r="A48" s="1" t="str">
        <x:v>日野森志步/镜音连</x:v>
      </x:c>
      <x:c r="B48" s="1" t="str">
        <x:v>Leo/need</x:v>
      </x:c>
      <x:c r="C48" s="1" t="str">
        <x:v>日野森志步</x:v>
      </x:c>
      <x:c r="D48" s="1" t="str">
        <x:v>镜音连</x:v>
      </x:c>
      <x:c r="E48" s="9" t="str">
        <x:v>未评估</x:v>
      </x:c>
      <x:c r="F48" s="9"/>
      <x:c r="G48" s="9"/>
      <x:c r="H48" s="1" t="str">
        <x:f>IF(G48="","",CHOOSE(MIN(G48,4)+1,'评分规则'!$F$7,'评分规则'!$F$8,'评分规则'!$F$9,'评分规则'!$F$10,'评分规则'!$F$11))</x:f>
      </x:c>
      <x:c r="I48" s="9"/>
      <x:c r="J48" s="9"/>
      <x:c r="K48" s="9"/>
      <x:c r="L48" s="7" t="str">
        <x:f>IF(OR(E48="未评估",COUNT(F48,H48,I48,J48,K48)&lt;5),"",'评分规则'!$D$5*F48/'评分规则'!$C$5+'评分规则'!$D$6*I48/'评分规则'!$C$6+'评分规则'!$D$7*H48/'评分规则'!$C$7+'评分规则'!$D$8*J48/'评分规则'!$C$8+'评分规则'!$D$9*K48/'评分规则'!$C$9)</x:f>
      </x:c>
      <x:c r="M48" s="9"/>
      <x:c r="N48" s="9"/>
      <x:c r="O48" s="9"/>
      <x:c r="P48" s="9"/>
      <x:c r="Q48" s="9"/>
      <x:c r="R48" s="9"/>
      <x:c r="S48" s="1" t="str">
        <x:v>日野森志歩</x:v>
      </x:c>
      <x:c r="T48" s="1" t="str">
        <x:v>鏡音レン</x:v>
      </x:c>
    </x:row>
    <x:row r="49" ht="26" customHeight="1">
      <x:c r="A49" s="1" t="str">
        <x:v>花里实乃理/镜音连</x:v>
      </x:c>
      <x:c r="B49" s="1" t="str">
        <x:v>MORE MORE JUMP!</x:v>
      </x:c>
      <x:c r="C49" s="1" t="str">
        <x:v>花里实乃理</x:v>
      </x:c>
      <x:c r="D49" s="1" t="str">
        <x:v>镜音连</x:v>
      </x:c>
      <x:c r="E49" s="9" t="str">
        <x:v>未评估</x:v>
      </x:c>
      <x:c r="F49" s="9"/>
      <x:c r="G49" s="9"/>
      <x:c r="H49" s="1" t="str">
        <x:f>IF(G49="","",CHOOSE(MIN(G49,4)+1,'评分规则'!$F$7,'评分规则'!$F$8,'评分规则'!$F$9,'评分规则'!$F$10,'评分规则'!$F$11))</x:f>
      </x:c>
      <x:c r="I49" s="9"/>
      <x:c r="J49" s="9"/>
      <x:c r="K49" s="9"/>
      <x:c r="L49" s="7" t="str">
        <x:f>IF(OR(E49="未评估",COUNT(F49,H49,I49,J49,K49)&lt;5),"",'评分规则'!$D$5*F49/'评分规则'!$C$5+'评分规则'!$D$6*I49/'评分规则'!$C$6+'评分规则'!$D$7*H49/'评分规则'!$C$7+'评分规则'!$D$8*J49/'评分规则'!$C$8+'评分规则'!$D$9*K49/'评分规则'!$C$9)</x:f>
      </x:c>
      <x:c r="M49" s="9"/>
      <x:c r="N49" s="9"/>
      <x:c r="O49" s="9"/>
      <x:c r="P49" s="9"/>
      <x:c r="Q49" s="9"/>
      <x:c r="R49" s="9"/>
      <x:c r="S49" s="1" t="str">
        <x:v>花里みのり</x:v>
      </x:c>
      <x:c r="T49" s="1" t="str">
        <x:v>鏡音レン</x:v>
      </x:c>
    </x:row>
    <x:row r="50" ht="26" customHeight="1">
      <x:c r="A50" s="1" t="str">
        <x:v>桐谷遥/镜音连</x:v>
      </x:c>
      <x:c r="B50" s="1" t="str">
        <x:v>MORE MORE JUMP!</x:v>
      </x:c>
      <x:c r="C50" s="1" t="str">
        <x:v>桐谷遥</x:v>
      </x:c>
      <x:c r="D50" s="1" t="str">
        <x:v>镜音连</x:v>
      </x:c>
      <x:c r="E50" s="9" t="str">
        <x:v>未评估</x:v>
      </x:c>
      <x:c r="F50" s="9"/>
      <x:c r="G50" s="9"/>
      <x:c r="H50" s="1" t="str">
        <x:f>IF(G50="","",CHOOSE(MIN(G50,4)+1,'评分规则'!$F$7,'评分规则'!$F$8,'评分规则'!$F$9,'评分规则'!$F$10,'评分规则'!$F$11))</x:f>
      </x:c>
      <x:c r="I50" s="9"/>
      <x:c r="J50" s="9"/>
      <x:c r="K50" s="9"/>
      <x:c r="L50" s="7" t="str">
        <x:f>IF(OR(E50="未评估",COUNT(F50,H50,I50,J50,K50)&lt;5),"",'评分规则'!$D$5*F50/'评分规则'!$C$5+'评分规则'!$D$6*I50/'评分规则'!$C$6+'评分规则'!$D$7*H50/'评分规则'!$C$7+'评分规则'!$D$8*J50/'评分规则'!$C$8+'评分规则'!$D$9*K50/'评分规则'!$C$9)</x:f>
      </x:c>
      <x:c r="M50" s="9"/>
      <x:c r="N50" s="9"/>
      <x:c r="O50" s="9"/>
      <x:c r="P50" s="9"/>
      <x:c r="Q50" s="9"/>
      <x:c r="R50" s="9"/>
      <x:c r="S50" s="1" t="str">
        <x:v>桐谷遥</x:v>
      </x:c>
      <x:c r="T50" s="1" t="str">
        <x:v>鏡音レン</x:v>
      </x:c>
    </x:row>
    <x:row r="51" ht="26" customHeight="1">
      <x:c r="A51" s="1" t="str">
        <x:v>桃井爱莉/镜音连</x:v>
      </x:c>
      <x:c r="B51" s="1" t="str">
        <x:v>MORE MORE JUMP!</x:v>
      </x:c>
      <x:c r="C51" s="1" t="str">
        <x:v>桃井爱莉</x:v>
      </x:c>
      <x:c r="D51" s="1" t="str">
        <x:v>镜音连</x:v>
      </x:c>
      <x:c r="E51" s="9" t="str">
        <x:v>未评估</x:v>
      </x:c>
      <x:c r="F51" s="9"/>
      <x:c r="G51" s="9"/>
      <x:c r="H51" s="1" t="str">
        <x:f>IF(G51="","",CHOOSE(MIN(G51,4)+1,'评分规则'!$F$7,'评分规则'!$F$8,'评分规则'!$F$9,'评分规则'!$F$10,'评分规则'!$F$11))</x:f>
      </x:c>
      <x:c r="I51" s="9"/>
      <x:c r="J51" s="9"/>
      <x:c r="K51" s="9"/>
      <x:c r="L51" s="7" t="str">
        <x:f>IF(OR(E51="未评估",COUNT(F51,H51,I51,J51,K51)&lt;5),"",'评分规则'!$D$5*F51/'评分规则'!$C$5+'评分规则'!$D$6*I51/'评分规则'!$C$6+'评分规则'!$D$7*H51/'评分规则'!$C$7+'评分规则'!$D$8*J51/'评分规则'!$C$8+'评分规则'!$D$9*K51/'评分规则'!$C$9)</x:f>
      </x:c>
      <x:c r="M51" s="9"/>
      <x:c r="N51" s="9"/>
      <x:c r="O51" s="9"/>
      <x:c r="P51" s="9"/>
      <x:c r="Q51" s="9"/>
      <x:c r="R51" s="9"/>
      <x:c r="S51" s="1" t="str">
        <x:v>桃井愛莉</x:v>
      </x:c>
      <x:c r="T51" s="1" t="str">
        <x:v>鏡音レン</x:v>
      </x:c>
    </x:row>
    <x:row r="52" ht="26" customHeight="1">
      <x:c r="A52" s="1" t="str">
        <x:v>日野森雫/镜音连</x:v>
      </x:c>
      <x:c r="B52" s="1" t="str">
        <x:v>MORE MORE JUMP!</x:v>
      </x:c>
      <x:c r="C52" s="1" t="str">
        <x:v>日野森雫</x:v>
      </x:c>
      <x:c r="D52" s="1" t="str">
        <x:v>镜音连</x:v>
      </x:c>
      <x:c r="E52" s="9" t="str">
        <x:v>未评估</x:v>
      </x:c>
      <x:c r="F52" s="9"/>
      <x:c r="G52" s="9"/>
      <x:c r="H52" s="1" t="str">
        <x:f>IF(G52="","",CHOOSE(MIN(G52,4)+1,'评分规则'!$F$7,'评分规则'!$F$8,'评分规则'!$F$9,'评分规则'!$F$10,'评分规则'!$F$11))</x:f>
      </x:c>
      <x:c r="I52" s="9"/>
      <x:c r="J52" s="9"/>
      <x:c r="K52" s="9"/>
      <x:c r="L52" s="7" t="str">
        <x:f>IF(OR(E52="未评估",COUNT(F52,H52,I52,J52,K52)&lt;5),"",'评分规则'!$D$5*F52/'评分规则'!$C$5+'评分规则'!$D$6*I52/'评分规则'!$C$6+'评分规则'!$D$7*H52/'评分规则'!$C$7+'评分规则'!$D$8*J52/'评分规则'!$C$8+'评分规则'!$D$9*K52/'评分规则'!$C$9)</x:f>
      </x:c>
      <x:c r="M52" s="9"/>
      <x:c r="N52" s="9"/>
      <x:c r="O52" s="9"/>
      <x:c r="P52" s="9"/>
      <x:c r="Q52" s="9"/>
      <x:c r="R52" s="9"/>
      <x:c r="S52" s="1" t="str">
        <x:v>日野森雫</x:v>
      </x:c>
      <x:c r="T52" s="1" t="str">
        <x:v>鏡音レン</x:v>
      </x:c>
    </x:row>
    <x:row r="53" ht="26" customHeight="1">
      <x:c r="A53" s="1" t="str">
        <x:v>小豆泽心羽/镜音连</x:v>
      </x:c>
      <x:c r="B53" s="1" t="str">
        <x:v>Vivid BAD SQUAD</x:v>
      </x:c>
      <x:c r="C53" s="1" t="str">
        <x:v>小豆泽心羽</x:v>
      </x:c>
      <x:c r="D53" s="1" t="str">
        <x:v>镜音连</x:v>
      </x:c>
      <x:c r="E53" s="9" t="str">
        <x:v>未评估</x:v>
      </x:c>
      <x:c r="F53" s="9"/>
      <x:c r="G53" s="9"/>
      <x:c r="H53" s="1" t="str">
        <x:f>IF(G53="","",CHOOSE(MIN(G53,4)+1,'评分规则'!$F$7,'评分规则'!$F$8,'评分规则'!$F$9,'评分规则'!$F$10,'评分规则'!$F$11))</x:f>
      </x:c>
      <x:c r="I53" s="9"/>
      <x:c r="J53" s="9"/>
      <x:c r="K53" s="9"/>
      <x:c r="L53" s="7" t="str">
        <x:f>IF(OR(E53="未评估",COUNT(F53,H53,I53,J53,K53)&lt;5),"",'评分规则'!$D$5*F53/'评分规则'!$C$5+'评分规则'!$D$6*I53/'评分规则'!$C$6+'评分规则'!$D$7*H53/'评分规则'!$C$7+'评分规则'!$D$8*J53/'评分规则'!$C$8+'评分规则'!$D$9*K53/'评分规则'!$C$9)</x:f>
      </x:c>
      <x:c r="M53" s="9"/>
      <x:c r="N53" s="9"/>
      <x:c r="O53" s="9"/>
      <x:c r="P53" s="9"/>
      <x:c r="Q53" s="9"/>
      <x:c r="R53" s="9"/>
      <x:c r="S53" s="1" t="str">
        <x:v>小豆沢こはね</x:v>
      </x:c>
      <x:c r="T53" s="1" t="str">
        <x:v>鏡音レン</x:v>
      </x:c>
    </x:row>
    <x:row r="54" ht="26" customHeight="1">
      <x:c r="A54" s="1" t="str">
        <x:v>白石杏/镜音连</x:v>
      </x:c>
      <x:c r="B54" s="1" t="str">
        <x:v>Vivid BAD SQUAD</x:v>
      </x:c>
      <x:c r="C54" s="1" t="str">
        <x:v>白石杏</x:v>
      </x:c>
      <x:c r="D54" s="1" t="str">
        <x:v>镜音连</x:v>
      </x:c>
      <x:c r="E54" s="9" t="str">
        <x:v>未评估</x:v>
      </x:c>
      <x:c r="F54" s="9"/>
      <x:c r="G54" s="9"/>
      <x:c r="H54" s="1" t="str">
        <x:f>IF(G54="","",CHOOSE(MIN(G54,4)+1,'评分规则'!$F$7,'评分规则'!$F$8,'评分规则'!$F$9,'评分规则'!$F$10,'评分规则'!$F$11))</x:f>
      </x:c>
      <x:c r="I54" s="9"/>
      <x:c r="J54" s="9"/>
      <x:c r="K54" s="9"/>
      <x:c r="L54" s="7" t="str">
        <x:f>IF(OR(E54="未评估",COUNT(F54,H54,I54,J54,K54)&lt;5),"",'评分规则'!$D$5*F54/'评分规则'!$C$5+'评分规则'!$D$6*I54/'评分规则'!$C$6+'评分规则'!$D$7*H54/'评分规则'!$C$7+'评分规则'!$D$8*J54/'评分规则'!$C$8+'评分规则'!$D$9*K54/'评分规则'!$C$9)</x:f>
      </x:c>
      <x:c r="M54" s="9"/>
      <x:c r="N54" s="9"/>
      <x:c r="O54" s="9"/>
      <x:c r="P54" s="9"/>
      <x:c r="Q54" s="9"/>
      <x:c r="R54" s="9"/>
      <x:c r="S54" s="1" t="str">
        <x:v>白石杏</x:v>
      </x:c>
      <x:c r="T54" s="1" t="str">
        <x:v>鏡音レン</x:v>
      </x:c>
    </x:row>
    <x:row r="55" ht="26" customHeight="1">
      <x:c r="A55" s="1" t="str">
        <x:v>东云彰人/镜音连</x:v>
      </x:c>
      <x:c r="B55" s="1" t="str">
        <x:v>Vivid BAD SQUAD</x:v>
      </x:c>
      <x:c r="C55" s="1" t="str">
        <x:v>东云彰人</x:v>
      </x:c>
      <x:c r="D55" s="1" t="str">
        <x:v>镜音连</x:v>
      </x:c>
      <x:c r="E55" s="9" t="str">
        <x:v>未评估</x:v>
      </x:c>
      <x:c r="F55" s="9"/>
      <x:c r="G55" s="9"/>
      <x:c r="H55" s="1" t="str">
        <x:f>IF(G55="","",CHOOSE(MIN(G55,4)+1,'评分规则'!$F$7,'评分规则'!$F$8,'评分规则'!$F$9,'评分规则'!$F$10,'评分规则'!$F$11))</x:f>
      </x:c>
      <x:c r="I55" s="9"/>
      <x:c r="J55" s="9"/>
      <x:c r="K55" s="9"/>
      <x:c r="L55" s="7" t="str">
        <x:f>IF(OR(E55="未评估",COUNT(F55,H55,I55,J55,K55)&lt;5),"",'评分规则'!$D$5*F55/'评分规则'!$C$5+'评分规则'!$D$6*I55/'评分规则'!$C$6+'评分规则'!$D$7*H55/'评分规则'!$C$7+'评分规则'!$D$8*J55/'评分规则'!$C$8+'评分规则'!$D$9*K55/'评分规则'!$C$9)</x:f>
      </x:c>
      <x:c r="M55" s="9"/>
      <x:c r="N55" s="9"/>
      <x:c r="O55" s="9"/>
      <x:c r="P55" s="9"/>
      <x:c r="Q55" s="9"/>
      <x:c r="R55" s="9"/>
      <x:c r="S55" s="1" t="str">
        <x:v>東雲彰人</x:v>
      </x:c>
      <x:c r="T55" s="1" t="str">
        <x:v>鏡音レン</x:v>
      </x:c>
    </x:row>
    <x:row r="56" ht="26" customHeight="1">
      <x:c r="A56" s="1" t="str">
        <x:v>青柳冬弥/镜音连</x:v>
      </x:c>
      <x:c r="B56" s="1" t="str">
        <x:v>Vivid BAD SQUAD</x:v>
      </x:c>
      <x:c r="C56" s="1" t="str">
        <x:v>青柳冬弥</x:v>
      </x:c>
      <x:c r="D56" s="1" t="str">
        <x:v>镜音连</x:v>
      </x:c>
      <x:c r="E56" s="9" t="str">
        <x:v>未评估</x:v>
      </x:c>
      <x:c r="F56" s="9"/>
      <x:c r="G56" s="9"/>
      <x:c r="H56" s="1" t="str">
        <x:f>IF(G56="","",CHOOSE(MIN(G56,4)+1,'评分规则'!$F$7,'评分规则'!$F$8,'评分规则'!$F$9,'评分规则'!$F$10,'评分规则'!$F$11))</x:f>
      </x:c>
      <x:c r="I56" s="9"/>
      <x:c r="J56" s="9"/>
      <x:c r="K56" s="9"/>
      <x:c r="L56" s="7" t="str">
        <x:f>IF(OR(E56="未评估",COUNT(F56,H56,I56,J56,K56)&lt;5),"",'评分规则'!$D$5*F56/'评分规则'!$C$5+'评分规则'!$D$6*I56/'评分规则'!$C$6+'评分规则'!$D$7*H56/'评分规则'!$C$7+'评分规则'!$D$8*J56/'评分规则'!$C$8+'评分规则'!$D$9*K56/'评分规则'!$C$9)</x:f>
      </x:c>
      <x:c r="M56" s="9"/>
      <x:c r="N56" s="9"/>
      <x:c r="O56" s="9"/>
      <x:c r="P56" s="9"/>
      <x:c r="Q56" s="9"/>
      <x:c r="R56" s="9"/>
      <x:c r="S56" s="1" t="str">
        <x:v>青柳冬弥</x:v>
      </x:c>
      <x:c r="T56" s="1" t="str">
        <x:v>鏡音レン</x:v>
      </x:c>
    </x:row>
    <x:row r="57" ht="26" customHeight="1">
      <x:c r="A57" s="1" t="str">
        <x:v>天马司/镜音连</x:v>
      </x:c>
      <x:c r="B57" s="1" t="str">
        <x:v>Wonderlands×Showtime</x:v>
      </x:c>
      <x:c r="C57" s="1" t="str">
        <x:v>天马司</x:v>
      </x:c>
      <x:c r="D57" s="1" t="str">
        <x:v>镜音连</x:v>
      </x:c>
      <x:c r="E57" s="9" t="str">
        <x:v>未评估</x:v>
      </x:c>
      <x:c r="F57" s="9"/>
      <x:c r="G57" s="9"/>
      <x:c r="H57" s="1" t="str">
        <x:f>IF(G57="","",CHOOSE(MIN(G57,4)+1,'评分规则'!$F$7,'评分规则'!$F$8,'评分规则'!$F$9,'评分规则'!$F$10,'评分规则'!$F$11))</x:f>
      </x:c>
      <x:c r="I57" s="9"/>
      <x:c r="J57" s="9"/>
      <x:c r="K57" s="9"/>
      <x:c r="L57" s="7" t="str">
        <x:f>IF(OR(E57="未评估",COUNT(F57,H57,I57,J57,K57)&lt;5),"",'评分规则'!$D$5*F57/'评分规则'!$C$5+'评分规则'!$D$6*I57/'评分规则'!$C$6+'评分规则'!$D$7*H57/'评分规则'!$C$7+'评分规则'!$D$8*J57/'评分规则'!$C$8+'评分规则'!$D$9*K57/'评分规则'!$C$9)</x:f>
      </x:c>
      <x:c r="M57" s="9"/>
      <x:c r="N57" s="9"/>
      <x:c r="O57" s="9"/>
      <x:c r="P57" s="9"/>
      <x:c r="Q57" s="9"/>
      <x:c r="R57" s="9"/>
      <x:c r="S57" s="1" t="str">
        <x:v>天馬司</x:v>
      </x:c>
      <x:c r="T57" s="1" t="str">
        <x:v>鏡音レン</x:v>
      </x:c>
    </x:row>
    <x:row r="58" ht="26" customHeight="1">
      <x:c r="A58" s="1" t="str">
        <x:v>凤笑梦/镜音连</x:v>
      </x:c>
      <x:c r="B58" s="1" t="str">
        <x:v>Wonderlands×Showtime</x:v>
      </x:c>
      <x:c r="C58" s="1" t="str">
        <x:v>凤笑梦</x:v>
      </x:c>
      <x:c r="D58" s="1" t="str">
        <x:v>镜音连</x:v>
      </x:c>
      <x:c r="E58" s="9" t="str">
        <x:v>未评估</x:v>
      </x:c>
      <x:c r="F58" s="9"/>
      <x:c r="G58" s="9"/>
      <x:c r="H58" s="1" t="str">
        <x:f>IF(G58="","",CHOOSE(MIN(G58,4)+1,'评分规则'!$F$7,'评分规则'!$F$8,'评分规则'!$F$9,'评分规则'!$F$10,'评分规则'!$F$11))</x:f>
      </x:c>
      <x:c r="I58" s="9"/>
      <x:c r="J58" s="9"/>
      <x:c r="K58" s="9"/>
      <x:c r="L58" s="7" t="str">
        <x:f>IF(OR(E58="未评估",COUNT(F58,H58,I58,J58,K58)&lt;5),"",'评分规则'!$D$5*F58/'评分规则'!$C$5+'评分规则'!$D$6*I58/'评分规则'!$C$6+'评分规则'!$D$7*H58/'评分规则'!$C$7+'评分规则'!$D$8*J58/'评分规则'!$C$8+'评分规则'!$D$9*K58/'评分规则'!$C$9)</x:f>
      </x:c>
      <x:c r="M58" s="9"/>
      <x:c r="N58" s="9"/>
      <x:c r="O58" s="9"/>
      <x:c r="P58" s="9"/>
      <x:c r="Q58" s="9"/>
      <x:c r="R58" s="9"/>
      <x:c r="S58" s="1" t="str">
        <x:v>鳳えむ</x:v>
      </x:c>
      <x:c r="T58" s="1" t="str">
        <x:v>鏡音レン</x:v>
      </x:c>
    </x:row>
    <x:row r="59" ht="26" customHeight="1">
      <x:c r="A59" s="1" t="str">
        <x:v>草薙宁宁/镜音连</x:v>
      </x:c>
      <x:c r="B59" s="1" t="str">
        <x:v>Wonderlands×Showtime</x:v>
      </x:c>
      <x:c r="C59" s="1" t="str">
        <x:v>草薙宁宁</x:v>
      </x:c>
      <x:c r="D59" s="1" t="str">
        <x:v>镜音连</x:v>
      </x:c>
      <x:c r="E59" s="9" t="str">
        <x:v>未评估</x:v>
      </x:c>
      <x:c r="F59" s="9"/>
      <x:c r="G59" s="9"/>
      <x:c r="H59" s="1" t="str">
        <x:f>IF(G59="","",CHOOSE(MIN(G59,4)+1,'评分规则'!$F$7,'评分规则'!$F$8,'评分规则'!$F$9,'评分规则'!$F$10,'评分规则'!$F$11))</x:f>
      </x:c>
      <x:c r="I59" s="9"/>
      <x:c r="J59" s="9"/>
      <x:c r="K59" s="9"/>
      <x:c r="L59" s="7" t="str">
        <x:f>IF(OR(E59="未评估",COUNT(F59,H59,I59,J59,K59)&lt;5),"",'评分规则'!$D$5*F59/'评分规则'!$C$5+'评分规则'!$D$6*I59/'评分规则'!$C$6+'评分规则'!$D$7*H59/'评分规则'!$C$7+'评分规则'!$D$8*J59/'评分规则'!$C$8+'评分规则'!$D$9*K59/'评分规则'!$C$9)</x:f>
      </x:c>
      <x:c r="M59" s="9"/>
      <x:c r="N59" s="9"/>
      <x:c r="O59" s="9"/>
      <x:c r="P59" s="9"/>
      <x:c r="Q59" s="9"/>
      <x:c r="R59" s="9"/>
      <x:c r="S59" s="1" t="str">
        <x:v>草薙寧々</x:v>
      </x:c>
      <x:c r="T59" s="1" t="str">
        <x:v>鏡音レン</x:v>
      </x:c>
    </x:row>
    <x:row r="60" ht="26" customHeight="1">
      <x:c r="A60" s="1" t="str">
        <x:v>神代类/镜音连</x:v>
      </x:c>
      <x:c r="B60" s="1" t="str">
        <x:v>Wonderlands×Showtime</x:v>
      </x:c>
      <x:c r="C60" s="1" t="str">
        <x:v>神代类</x:v>
      </x:c>
      <x:c r="D60" s="1" t="str">
        <x:v>镜音连</x:v>
      </x:c>
      <x:c r="E60" s="9" t="str">
        <x:v>未评估</x:v>
      </x:c>
      <x:c r="F60" s="9"/>
      <x:c r="G60" s="9"/>
      <x:c r="H60" s="1" t="str">
        <x:f>IF(G60="","",CHOOSE(MIN(G60,4)+1,'评分规则'!$F$7,'评分规则'!$F$8,'评分规则'!$F$9,'评分规则'!$F$10,'评分规则'!$F$11))</x:f>
      </x:c>
      <x:c r="I60" s="9"/>
      <x:c r="J60" s="9"/>
      <x:c r="K60" s="9"/>
      <x:c r="L60" s="7" t="str">
        <x:f>IF(OR(E60="未评估",COUNT(F60,H60,I60,J60,K60)&lt;5),"",'评分规则'!$D$5*F60/'评分规则'!$C$5+'评分规则'!$D$6*I60/'评分规则'!$C$6+'评分规则'!$D$7*H60/'评分规则'!$C$7+'评分规则'!$D$8*J60/'评分规则'!$C$8+'评分规则'!$D$9*K60/'评分规则'!$C$9)</x:f>
      </x:c>
      <x:c r="M60" s="9"/>
      <x:c r="N60" s="9"/>
      <x:c r="O60" s="9"/>
      <x:c r="P60" s="9"/>
      <x:c r="Q60" s="9"/>
      <x:c r="R60" s="9"/>
      <x:c r="S60" s="1" t="str">
        <x:v>神代類</x:v>
      </x:c>
      <x:c r="T60" s="1" t="str">
        <x:v>鏡音レン</x:v>
      </x:c>
    </x:row>
    <x:row r="61" ht="26" customHeight="1">
      <x:c r="A61" s="1" t="str">
        <x:v>宵崎奏/镜音连</x:v>
      </x:c>
      <x:c r="B61" s="1" t="str">
        <x:v>25时，Nightcord见。</x:v>
      </x:c>
      <x:c r="C61" s="1" t="str">
        <x:v>宵崎奏</x:v>
      </x:c>
      <x:c r="D61" s="1" t="str">
        <x:v>镜音连</x:v>
      </x:c>
      <x:c r="E61" s="9" t="str">
        <x:v>未评估</x:v>
      </x:c>
      <x:c r="F61" s="9"/>
      <x:c r="G61" s="9"/>
      <x:c r="H61" s="1" t="str">
        <x:f>IF(G61="","",CHOOSE(MIN(G61,4)+1,'评分规则'!$F$7,'评分规则'!$F$8,'评分规则'!$F$9,'评分规则'!$F$10,'评分规则'!$F$11))</x:f>
      </x:c>
      <x:c r="I61" s="9"/>
      <x:c r="J61" s="9"/>
      <x:c r="K61" s="9"/>
      <x:c r="L61" s="7" t="str">
        <x:f>IF(OR(E61="未评估",COUNT(F61,H61,I61,J61,K61)&lt;5),"",'评分规则'!$D$5*F61/'评分规则'!$C$5+'评分规则'!$D$6*I61/'评分规则'!$C$6+'评分规则'!$D$7*H61/'评分规则'!$C$7+'评分规则'!$D$8*J61/'评分规则'!$C$8+'评分规则'!$D$9*K61/'评分规则'!$C$9)</x:f>
      </x:c>
      <x:c r="M61" s="9"/>
      <x:c r="N61" s="9"/>
      <x:c r="O61" s="9"/>
      <x:c r="P61" s="9"/>
      <x:c r="Q61" s="9"/>
      <x:c r="R61" s="9"/>
      <x:c r="S61" s="1" t="str">
        <x:v>宵崎奏</x:v>
      </x:c>
      <x:c r="T61" s="1" t="str">
        <x:v>鏡音レン</x:v>
      </x:c>
    </x:row>
    <x:row r="62" ht="26" customHeight="1">
      <x:c r="A62" s="1" t="str">
        <x:v>朝比奈真冬/镜音连</x:v>
      </x:c>
      <x:c r="B62" s="1" t="str">
        <x:v>25时，Nightcord见。</x:v>
      </x:c>
      <x:c r="C62" s="1" t="str">
        <x:v>朝比奈真冬</x:v>
      </x:c>
      <x:c r="D62" s="1" t="str">
        <x:v>镜音连</x:v>
      </x:c>
      <x:c r="E62" s="9" t="str">
        <x:v>未评估</x:v>
      </x:c>
      <x:c r="F62" s="9"/>
      <x:c r="G62" s="9"/>
      <x:c r="H62" s="1" t="str">
        <x:f>IF(G62="","",CHOOSE(MIN(G62,4)+1,'评分规则'!$F$7,'评分规则'!$F$8,'评分规则'!$F$9,'评分规则'!$F$10,'评分规则'!$F$11))</x:f>
      </x:c>
      <x:c r="I62" s="9"/>
      <x:c r="J62" s="9"/>
      <x:c r="K62" s="9"/>
      <x:c r="L62" s="7" t="str">
        <x:f>IF(OR(E62="未评估",COUNT(F62,H62,I62,J62,K62)&lt;5),"",'评分规则'!$D$5*F62/'评分规则'!$C$5+'评分规则'!$D$6*I62/'评分规则'!$C$6+'评分规则'!$D$7*H62/'评分规则'!$C$7+'评分规则'!$D$8*J62/'评分规则'!$C$8+'评分规则'!$D$9*K62/'评分规则'!$C$9)</x:f>
      </x:c>
      <x:c r="M62" s="9"/>
      <x:c r="N62" s="9"/>
      <x:c r="O62" s="9"/>
      <x:c r="P62" s="9"/>
      <x:c r="Q62" s="9"/>
      <x:c r="R62" s="9"/>
      <x:c r="S62" s="1" t="str">
        <x:v>朝比奈まふゆ</x:v>
      </x:c>
      <x:c r="T62" s="1" t="str">
        <x:v>鏡音レン</x:v>
      </x:c>
    </x:row>
    <x:row r="63" ht="26" customHeight="1">
      <x:c r="A63" s="1" t="str">
        <x:v>东云绘名/镜音连</x:v>
      </x:c>
      <x:c r="B63" s="1" t="str">
        <x:v>25时，Nightcord见。</x:v>
      </x:c>
      <x:c r="C63" s="1" t="str">
        <x:v>东云绘名</x:v>
      </x:c>
      <x:c r="D63" s="1" t="str">
        <x:v>镜音连</x:v>
      </x:c>
      <x:c r="E63" s="9" t="str">
        <x:v>未评估</x:v>
      </x:c>
      <x:c r="F63" s="9"/>
      <x:c r="G63" s="9"/>
      <x:c r="H63" s="1" t="str">
        <x:f>IF(G63="","",CHOOSE(MIN(G63,4)+1,'评分规则'!$F$7,'评分规则'!$F$8,'评分规则'!$F$9,'评分规则'!$F$10,'评分规则'!$F$11))</x:f>
      </x:c>
      <x:c r="I63" s="9"/>
      <x:c r="J63" s="9"/>
      <x:c r="K63" s="9"/>
      <x:c r="L63" s="7" t="str">
        <x:f>IF(OR(E63="未评估",COUNT(F63,H63,I63,J63,K63)&lt;5),"",'评分规则'!$D$5*F63/'评分规则'!$C$5+'评分规则'!$D$6*I63/'评分规则'!$C$6+'评分规则'!$D$7*H63/'评分规则'!$C$7+'评分规则'!$D$8*J63/'评分规则'!$C$8+'评分规则'!$D$9*K63/'评分规则'!$C$9)</x:f>
      </x:c>
      <x:c r="M63" s="9"/>
      <x:c r="N63" s="9"/>
      <x:c r="O63" s="9"/>
      <x:c r="P63" s="9"/>
      <x:c r="Q63" s="9"/>
      <x:c r="R63" s="9"/>
      <x:c r="S63" s="1" t="str">
        <x:v>東雲絵名</x:v>
      </x:c>
      <x:c r="T63" s="1" t="str">
        <x:v>鏡音レン</x:v>
      </x:c>
    </x:row>
    <x:row r="64" ht="26" customHeight="1">
      <x:c r="A64" s="1" t="str">
        <x:v>晓山瑞希/镜音连</x:v>
      </x:c>
      <x:c r="B64" s="1" t="str">
        <x:v>25时，Nightcord见。</x:v>
      </x:c>
      <x:c r="C64" s="1" t="str">
        <x:v>晓山瑞希</x:v>
      </x:c>
      <x:c r="D64" s="1" t="str">
        <x:v>镜音连</x:v>
      </x:c>
      <x:c r="E64" s="9" t="str">
        <x:v>未评估</x:v>
      </x:c>
      <x:c r="F64" s="9"/>
      <x:c r="G64" s="9"/>
      <x:c r="H64" s="1" t="str">
        <x:f>IF(G64="","",CHOOSE(MIN(G64,4)+1,'评分规则'!$F$7,'评分规则'!$F$8,'评分规则'!$F$9,'评分规则'!$F$10,'评分规则'!$F$11))</x:f>
      </x:c>
      <x:c r="I64" s="9"/>
      <x:c r="J64" s="9"/>
      <x:c r="K64" s="9"/>
      <x:c r="L64" s="7" t="str">
        <x:f>IF(OR(E64="未评估",COUNT(F64,H64,I64,J64,K64)&lt;5),"",'评分规则'!$D$5*F64/'评分规则'!$C$5+'评分规则'!$D$6*I64/'评分规则'!$C$6+'评分规则'!$D$7*H64/'评分规则'!$C$7+'评分规则'!$D$8*J64/'评分规则'!$C$8+'评分规则'!$D$9*K64/'评分规则'!$C$9)</x:f>
      </x:c>
      <x:c r="M64" s="9"/>
      <x:c r="N64" s="9"/>
      <x:c r="O64" s="9"/>
      <x:c r="P64" s="9"/>
      <x:c r="Q64" s="9"/>
      <x:c r="R64" s="9"/>
      <x:c r="S64" s="1" t="str">
        <x:v>暁山瑞希</x:v>
      </x:c>
      <x:c r="T64" s="1" t="str">
        <x:v>鏡音レン</x:v>
      </x:c>
    </x:row>
    <x:row r="65" ht="115" customHeight="1">
      <x:c r="A65" s="1" t="str">
        <x:v>星乃一歌/巡音流歌</x:v>
      </x:c>
      <x:c r="B65" s="1" t="str">
        <x:v>Leo/need</x:v>
      </x:c>
      <x:c r="C65" s="1" t="str">
        <x:v>星乃一歌</x:v>
      </x:c>
      <x:c r="D65" s="1" t="str">
        <x:v>巡音流歌</x:v>
      </x:c>
      <x:c r="E65" s="9" t="str">
        <x:v>核查中</x:v>
      </x:c>
      <x:c r="F65" s="9" t="n">
        <x:v>3</x:v>
      </x:c>
      <x:c r="G65" s="9" t="n">
        <x:v>3</x:v>
      </x:c>
      <x:c r="H65" s="1" t="n">
        <x:f>IF(G65="","",CHOOSE(MIN(G65,4)+1,'评分规则'!$F$7,'评分规则'!$F$8,'评分规则'!$F$9,'评分规则'!$F$10,'评分规则'!$F$11))</x:f>
        <x:v>9</x:v>
      </x:c>
      <x:c r="I65" s="9" t="n">
        <x:v>3</x:v>
      </x:c>
      <x:c r="J65" s="9" t="n">
        <x:v>2</x:v>
      </x:c>
      <x:c r="K65" s="9" t="n">
        <x:v>4</x:v>
      </x:c>
      <x:c r="L65" s="7" t="n">
        <x:f>IF(OR(E65="未评估",COUNT(F65,H65,I65,J65,K65)&lt;5),"",'评分规则'!$D$5*F65/'评分规则'!$C$5+'评分规则'!$D$6*I65/'评分规则'!$C$6+'评分规则'!$D$7*H65/'评分规则'!$C$7+'评分规则'!$D$8*J65/'评分规则'!$C$8+'评分规则'!$D$9*K65/'评分规则'!$C$9)</x:f>
        <x:v>77.66666666666667</x:v>
      </x:c>
      <x:c r="M65" s="9" t="str">
        <x:v>B</x:v>
      </x:c>
      <x:c r="N65" s="11" t="str">
        <x:v>日文正文首轮精读；非全库人工审计</x:v>
      </x:c>
      <x:c r="O65" s="11" t="str">
        <x:v>主线重聚与对穗波心意的理解；为发生隔阂的听众姐妹写出能传达心意的歌曲；协调共同创作者的意图</x:v>
      </x:c>
      <x:c r="P65" s="11" t="str">
        <x:v>起步与早期原创；外部演出；职业与个人创作</x:v>
      </x:c>
      <x:c r="Q65" s="11" t="str">
        <x:v>创作方法、自我认识、伙伴与共同创作关系、听众沟通</x:v>
      </x:c>
      <x:c r="R65" s="11" t="str">
        <x:v>https://github.com/ci-ke/ProjectSekai-story/tree/fdfbd5de4f28f21a326d031439feb9b0491111a5</x:v>
      </x:c>
      <x:c r="S65" s="1" t="str">
        <x:v>星乃一歌</x:v>
      </x:c>
      <x:c r="T65" s="1" t="str">
        <x:v>巡音ルカ</x:v>
      </x:c>
    </x:row>
    <x:row r="66" ht="26" customHeight="1">
      <x:c r="A66" s="1" t="str">
        <x:v>天马咲希/巡音流歌</x:v>
      </x:c>
      <x:c r="B66" s="1" t="str">
        <x:v>Leo/need</x:v>
      </x:c>
      <x:c r="C66" s="1" t="str">
        <x:v>天马咲希</x:v>
      </x:c>
      <x:c r="D66" s="1" t="str">
        <x:v>巡音流歌</x:v>
      </x:c>
      <x:c r="E66" s="9" t="str">
        <x:v>未评估</x:v>
      </x:c>
      <x:c r="F66" s="9"/>
      <x:c r="G66" s="9"/>
      <x:c r="H66" s="1" t="str">
        <x:f>IF(G66="","",CHOOSE(MIN(G66,4)+1,'评分规则'!$F$7,'评分规则'!$F$8,'评分规则'!$F$9,'评分规则'!$F$10,'评分规则'!$F$11))</x:f>
      </x:c>
      <x:c r="I66" s="9"/>
      <x:c r="J66" s="9"/>
      <x:c r="K66" s="9"/>
      <x:c r="L66" s="7" t="str">
        <x:f>IF(OR(E66="未评估",COUNT(F66,H66,I66,J66,K66)&lt;5),"",'评分规则'!$D$5*F66/'评分规则'!$C$5+'评分规则'!$D$6*I66/'评分规则'!$C$6+'评分规则'!$D$7*H66/'评分规则'!$C$7+'评分规则'!$D$8*J66/'评分规则'!$C$8+'评分规则'!$D$9*K66/'评分规则'!$C$9)</x:f>
      </x:c>
      <x:c r="M66" s="9"/>
      <x:c r="N66" s="9"/>
      <x:c r="O66" s="9"/>
      <x:c r="P66" s="9"/>
      <x:c r="Q66" s="9"/>
      <x:c r="R66" s="9"/>
      <x:c r="S66" s="1" t="str">
        <x:v>天馬咲希</x:v>
      </x:c>
      <x:c r="T66" s="1" t="str">
        <x:v>巡音ルカ</x:v>
      </x:c>
    </x:row>
    <x:row r="67" ht="26" customHeight="1">
      <x:c r="A67" s="1" t="str">
        <x:v>望月穗波/巡音流歌</x:v>
      </x:c>
      <x:c r="B67" s="1" t="str">
        <x:v>Leo/need</x:v>
      </x:c>
      <x:c r="C67" s="1" t="str">
        <x:v>望月穗波</x:v>
      </x:c>
      <x:c r="D67" s="1" t="str">
        <x:v>巡音流歌</x:v>
      </x:c>
      <x:c r="E67" s="9" t="str">
        <x:v>未评估</x:v>
      </x:c>
      <x:c r="F67" s="9"/>
      <x:c r="G67" s="9"/>
      <x:c r="H67" s="1" t="str">
        <x:f>IF(G67="","",CHOOSE(MIN(G67,4)+1,'评分规则'!$F$7,'评分规则'!$F$8,'评分规则'!$F$9,'评分规则'!$F$10,'评分规则'!$F$11))</x:f>
      </x:c>
      <x:c r="I67" s="9"/>
      <x:c r="J67" s="9"/>
      <x:c r="K67" s="9"/>
      <x:c r="L67" s="7" t="str">
        <x:f>IF(OR(E67="未评估",COUNT(F67,H67,I67,J67,K67)&lt;5),"",'评分规则'!$D$5*F67/'评分规则'!$C$5+'评分规则'!$D$6*I67/'评分规则'!$C$6+'评分规则'!$D$7*H67/'评分规则'!$C$7+'评分规则'!$D$8*J67/'评分规则'!$C$8+'评分规则'!$D$9*K67/'评分规则'!$C$9)</x:f>
      </x:c>
      <x:c r="M67" s="9"/>
      <x:c r="N67" s="9"/>
      <x:c r="O67" s="9"/>
      <x:c r="P67" s="9"/>
      <x:c r="Q67" s="9"/>
      <x:c r="R67" s="9"/>
      <x:c r="S67" s="1" t="str">
        <x:v>望月穂波</x:v>
      </x:c>
      <x:c r="T67" s="1" t="str">
        <x:v>巡音ルカ</x:v>
      </x:c>
    </x:row>
    <x:row r="68" ht="26" customHeight="1">
      <x:c r="A68" s="1" t="str">
        <x:v>日野森志步/巡音流歌</x:v>
      </x:c>
      <x:c r="B68" s="1" t="str">
        <x:v>Leo/need</x:v>
      </x:c>
      <x:c r="C68" s="1" t="str">
        <x:v>日野森志步</x:v>
      </x:c>
      <x:c r="D68" s="1" t="str">
        <x:v>巡音流歌</x:v>
      </x:c>
      <x:c r="E68" s="9" t="str">
        <x:v>未评估</x:v>
      </x:c>
      <x:c r="F68" s="9"/>
      <x:c r="G68" s="9"/>
      <x:c r="H68" s="1" t="str">
        <x:f>IF(G68="","",CHOOSE(MIN(G68,4)+1,'评分规则'!$F$7,'评分规则'!$F$8,'评分规则'!$F$9,'评分规则'!$F$10,'评分规则'!$F$11))</x:f>
      </x:c>
      <x:c r="I68" s="9"/>
      <x:c r="J68" s="9"/>
      <x:c r="K68" s="9"/>
      <x:c r="L68" s="7" t="str">
        <x:f>IF(OR(E68="未评估",COUNT(F68,H68,I68,J68,K68)&lt;5),"",'评分规则'!$D$5*F68/'评分规则'!$C$5+'评分规则'!$D$6*I68/'评分规则'!$C$6+'评分规则'!$D$7*H68/'评分规则'!$C$7+'评分规则'!$D$8*J68/'评分规则'!$C$8+'评分规则'!$D$9*K68/'评分规则'!$C$9)</x:f>
      </x:c>
      <x:c r="M68" s="9"/>
      <x:c r="N68" s="9"/>
      <x:c r="O68" s="9"/>
      <x:c r="P68" s="9"/>
      <x:c r="Q68" s="9"/>
      <x:c r="R68" s="9"/>
      <x:c r="S68" s="1" t="str">
        <x:v>日野森志歩</x:v>
      </x:c>
      <x:c r="T68" s="1" t="str">
        <x:v>巡音ルカ</x:v>
      </x:c>
    </x:row>
    <x:row r="69" ht="26" customHeight="1">
      <x:c r="A69" s="1" t="str">
        <x:v>花里实乃理/巡音流歌</x:v>
      </x:c>
      <x:c r="B69" s="1" t="str">
        <x:v>MORE MORE JUMP!</x:v>
      </x:c>
      <x:c r="C69" s="1" t="str">
        <x:v>花里实乃理</x:v>
      </x:c>
      <x:c r="D69" s="1" t="str">
        <x:v>巡音流歌</x:v>
      </x:c>
      <x:c r="E69" s="9" t="str">
        <x:v>未评估</x:v>
      </x:c>
      <x:c r="F69" s="9"/>
      <x:c r="G69" s="9"/>
      <x:c r="H69" s="1" t="str">
        <x:f>IF(G69="","",CHOOSE(MIN(G69,4)+1,'评分规则'!$F$7,'评分规则'!$F$8,'评分规则'!$F$9,'评分规则'!$F$10,'评分规则'!$F$11))</x:f>
      </x:c>
      <x:c r="I69" s="9"/>
      <x:c r="J69" s="9"/>
      <x:c r="K69" s="9"/>
      <x:c r="L69" s="7" t="str">
        <x:f>IF(OR(E69="未评估",COUNT(F69,H69,I69,J69,K69)&lt;5),"",'评分规则'!$D$5*F69/'评分规则'!$C$5+'评分规则'!$D$6*I69/'评分规则'!$C$6+'评分规则'!$D$7*H69/'评分规则'!$C$7+'评分规则'!$D$8*J69/'评分规则'!$C$8+'评分规则'!$D$9*K69/'评分规则'!$C$9)</x:f>
      </x:c>
      <x:c r="M69" s="9"/>
      <x:c r="N69" s="9"/>
      <x:c r="O69" s="9"/>
      <x:c r="P69" s="9"/>
      <x:c r="Q69" s="9"/>
      <x:c r="R69" s="9"/>
      <x:c r="S69" s="1" t="str">
        <x:v>花里みのり</x:v>
      </x:c>
      <x:c r="T69" s="1" t="str">
        <x:v>巡音ルカ</x:v>
      </x:c>
    </x:row>
    <x:row r="70" ht="26" customHeight="1">
      <x:c r="A70" s="1" t="str">
        <x:v>桐谷遥/巡音流歌</x:v>
      </x:c>
      <x:c r="B70" s="1" t="str">
        <x:v>MORE MORE JUMP!</x:v>
      </x:c>
      <x:c r="C70" s="1" t="str">
        <x:v>桐谷遥</x:v>
      </x:c>
      <x:c r="D70" s="1" t="str">
        <x:v>巡音流歌</x:v>
      </x:c>
      <x:c r="E70" s="9" t="str">
        <x:v>未评估</x:v>
      </x:c>
      <x:c r="F70" s="9"/>
      <x:c r="G70" s="9"/>
      <x:c r="H70" s="1" t="str">
        <x:f>IF(G70="","",CHOOSE(MIN(G70,4)+1,'评分规则'!$F$7,'评分规则'!$F$8,'评分规则'!$F$9,'评分规则'!$F$10,'评分规则'!$F$11))</x:f>
      </x:c>
      <x:c r="I70" s="9"/>
      <x:c r="J70" s="9"/>
      <x:c r="K70" s="9"/>
      <x:c r="L70" s="7" t="str">
        <x:f>IF(OR(E70="未评估",COUNT(F70,H70,I70,J70,K70)&lt;5),"",'评分规则'!$D$5*F70/'评分规则'!$C$5+'评分规则'!$D$6*I70/'评分规则'!$C$6+'评分规则'!$D$7*H70/'评分规则'!$C$7+'评分规则'!$D$8*J70/'评分规则'!$C$8+'评分规则'!$D$9*K70/'评分规则'!$C$9)</x:f>
      </x:c>
      <x:c r="M70" s="9"/>
      <x:c r="N70" s="9"/>
      <x:c r="O70" s="9"/>
      <x:c r="P70" s="9"/>
      <x:c r="Q70" s="9"/>
      <x:c r="R70" s="9"/>
      <x:c r="S70" s="1" t="str">
        <x:v>桐谷遥</x:v>
      </x:c>
      <x:c r="T70" s="1" t="str">
        <x:v>巡音ルカ</x:v>
      </x:c>
    </x:row>
    <x:row r="71" ht="26" customHeight="1">
      <x:c r="A71" s="1" t="str">
        <x:v>桃井爱莉/巡音流歌</x:v>
      </x:c>
      <x:c r="B71" s="1" t="str">
        <x:v>MORE MORE JUMP!</x:v>
      </x:c>
      <x:c r="C71" s="1" t="str">
        <x:v>桃井爱莉</x:v>
      </x:c>
      <x:c r="D71" s="1" t="str">
        <x:v>巡音流歌</x:v>
      </x:c>
      <x:c r="E71" s="9" t="str">
        <x:v>未评估</x:v>
      </x:c>
      <x:c r="F71" s="9"/>
      <x:c r="G71" s="9"/>
      <x:c r="H71" s="1" t="str">
        <x:f>IF(G71="","",CHOOSE(MIN(G71,4)+1,'评分规则'!$F$7,'评分规则'!$F$8,'评分规则'!$F$9,'评分规则'!$F$10,'评分规则'!$F$11))</x:f>
      </x:c>
      <x:c r="I71" s="9"/>
      <x:c r="J71" s="9"/>
      <x:c r="K71" s="9"/>
      <x:c r="L71" s="7" t="str">
        <x:f>IF(OR(E71="未评估",COUNT(F71,H71,I71,J71,K71)&lt;5),"",'评分规则'!$D$5*F71/'评分规则'!$C$5+'评分规则'!$D$6*I71/'评分规则'!$C$6+'评分规则'!$D$7*H71/'评分规则'!$C$7+'评分规则'!$D$8*J71/'评分规则'!$C$8+'评分规则'!$D$9*K71/'评分规则'!$C$9)</x:f>
      </x:c>
      <x:c r="M71" s="9"/>
      <x:c r="N71" s="9"/>
      <x:c r="O71" s="9"/>
      <x:c r="P71" s="9"/>
      <x:c r="Q71" s="9"/>
      <x:c r="R71" s="9"/>
      <x:c r="S71" s="1" t="str">
        <x:v>桃井愛莉</x:v>
      </x:c>
      <x:c r="T71" s="1" t="str">
        <x:v>巡音ルカ</x:v>
      </x:c>
    </x:row>
    <x:row r="72" ht="26" customHeight="1">
      <x:c r="A72" s="1" t="str">
        <x:v>日野森雫/巡音流歌</x:v>
      </x:c>
      <x:c r="B72" s="1" t="str">
        <x:v>MORE MORE JUMP!</x:v>
      </x:c>
      <x:c r="C72" s="1" t="str">
        <x:v>日野森雫</x:v>
      </x:c>
      <x:c r="D72" s="1" t="str">
        <x:v>巡音流歌</x:v>
      </x:c>
      <x:c r="E72" s="9" t="str">
        <x:v>未评估</x:v>
      </x:c>
      <x:c r="F72" s="9"/>
      <x:c r="G72" s="9"/>
      <x:c r="H72" s="1" t="str">
        <x:f>IF(G72="","",CHOOSE(MIN(G72,4)+1,'评分规则'!$F$7,'评分规则'!$F$8,'评分规则'!$F$9,'评分规则'!$F$10,'评分规则'!$F$11))</x:f>
      </x:c>
      <x:c r="I72" s="9"/>
      <x:c r="J72" s="9"/>
      <x:c r="K72" s="9"/>
      <x:c r="L72" s="7" t="str">
        <x:f>IF(OR(E72="未评估",COUNT(F72,H72,I72,J72,K72)&lt;5),"",'评分规则'!$D$5*F72/'评分规则'!$C$5+'评分规则'!$D$6*I72/'评分规则'!$C$6+'评分规则'!$D$7*H72/'评分规则'!$C$7+'评分规则'!$D$8*J72/'评分规则'!$C$8+'评分规则'!$D$9*K72/'评分规则'!$C$9)</x:f>
      </x:c>
      <x:c r="M72" s="9"/>
      <x:c r="N72" s="9"/>
      <x:c r="O72" s="9"/>
      <x:c r="P72" s="9"/>
      <x:c r="Q72" s="9"/>
      <x:c r="R72" s="9"/>
      <x:c r="S72" s="1" t="str">
        <x:v>日野森雫</x:v>
      </x:c>
      <x:c r="T72" s="1" t="str">
        <x:v>巡音ルカ</x:v>
      </x:c>
    </x:row>
    <x:row r="73" ht="26" customHeight="1">
      <x:c r="A73" s="1" t="str">
        <x:v>小豆泽心羽/巡音流歌</x:v>
      </x:c>
      <x:c r="B73" s="1" t="str">
        <x:v>Vivid BAD SQUAD</x:v>
      </x:c>
      <x:c r="C73" s="1" t="str">
        <x:v>小豆泽心羽</x:v>
      </x:c>
      <x:c r="D73" s="1" t="str">
        <x:v>巡音流歌</x:v>
      </x:c>
      <x:c r="E73" s="9" t="str">
        <x:v>未评估</x:v>
      </x:c>
      <x:c r="F73" s="9"/>
      <x:c r="G73" s="9"/>
      <x:c r="H73" s="1" t="str">
        <x:f>IF(G73="","",CHOOSE(MIN(G73,4)+1,'评分规则'!$F$7,'评分规则'!$F$8,'评分规则'!$F$9,'评分规则'!$F$10,'评分规则'!$F$11))</x:f>
      </x:c>
      <x:c r="I73" s="9"/>
      <x:c r="J73" s="9"/>
      <x:c r="K73" s="9"/>
      <x:c r="L73" s="7" t="str">
        <x:f>IF(OR(E73="未评估",COUNT(F73,H73,I73,J73,K73)&lt;5),"",'评分规则'!$D$5*F73/'评分规则'!$C$5+'评分规则'!$D$6*I73/'评分规则'!$C$6+'评分规则'!$D$7*H73/'评分规则'!$C$7+'评分规则'!$D$8*J73/'评分规则'!$C$8+'评分规则'!$D$9*K73/'评分规则'!$C$9)</x:f>
      </x:c>
      <x:c r="M73" s="9"/>
      <x:c r="N73" s="9"/>
      <x:c r="O73" s="9"/>
      <x:c r="P73" s="9"/>
      <x:c r="Q73" s="9"/>
      <x:c r="R73" s="9"/>
      <x:c r="S73" s="1" t="str">
        <x:v>小豆沢こはね</x:v>
      </x:c>
      <x:c r="T73" s="1" t="str">
        <x:v>巡音ルカ</x:v>
      </x:c>
    </x:row>
    <x:row r="74" ht="26" customHeight="1">
      <x:c r="A74" s="1" t="str">
        <x:v>白石杏/巡音流歌</x:v>
      </x:c>
      <x:c r="B74" s="1" t="str">
        <x:v>Vivid BAD SQUAD</x:v>
      </x:c>
      <x:c r="C74" s="1" t="str">
        <x:v>白石杏</x:v>
      </x:c>
      <x:c r="D74" s="1" t="str">
        <x:v>巡音流歌</x:v>
      </x:c>
      <x:c r="E74" s="9" t="str">
        <x:v>未评估</x:v>
      </x:c>
      <x:c r="F74" s="9"/>
      <x:c r="G74" s="9"/>
      <x:c r="H74" s="1" t="str">
        <x:f>IF(G74="","",CHOOSE(MIN(G74,4)+1,'评分规则'!$F$7,'评分规则'!$F$8,'评分规则'!$F$9,'评分规则'!$F$10,'评分规则'!$F$11))</x:f>
      </x:c>
      <x:c r="I74" s="9"/>
      <x:c r="J74" s="9"/>
      <x:c r="K74" s="9"/>
      <x:c r="L74" s="7" t="str">
        <x:f>IF(OR(E74="未评估",COUNT(F74,H74,I74,J74,K74)&lt;5),"",'评分规则'!$D$5*F74/'评分规则'!$C$5+'评分规则'!$D$6*I74/'评分规则'!$C$6+'评分规则'!$D$7*H74/'评分规则'!$C$7+'评分规则'!$D$8*J74/'评分规则'!$C$8+'评分规则'!$D$9*K74/'评分规则'!$C$9)</x:f>
      </x:c>
      <x:c r="M74" s="9"/>
      <x:c r="N74" s="9"/>
      <x:c r="O74" s="9"/>
      <x:c r="P74" s="9"/>
      <x:c r="Q74" s="9"/>
      <x:c r="R74" s="9"/>
      <x:c r="S74" s="1" t="str">
        <x:v>白石杏</x:v>
      </x:c>
      <x:c r="T74" s="1" t="str">
        <x:v>巡音ルカ</x:v>
      </x:c>
    </x:row>
    <x:row r="75" ht="26" customHeight="1">
      <x:c r="A75" s="1" t="str">
        <x:v>东云彰人/巡音流歌</x:v>
      </x:c>
      <x:c r="B75" s="1" t="str">
        <x:v>Vivid BAD SQUAD</x:v>
      </x:c>
      <x:c r="C75" s="1" t="str">
        <x:v>东云彰人</x:v>
      </x:c>
      <x:c r="D75" s="1" t="str">
        <x:v>巡音流歌</x:v>
      </x:c>
      <x:c r="E75" s="9" t="str">
        <x:v>未评估</x:v>
      </x:c>
      <x:c r="F75" s="9"/>
      <x:c r="G75" s="9"/>
      <x:c r="H75" s="1" t="str">
        <x:f>IF(G75="","",CHOOSE(MIN(G75,4)+1,'评分规则'!$F$7,'评分规则'!$F$8,'评分规则'!$F$9,'评分规则'!$F$10,'评分规则'!$F$11))</x:f>
      </x:c>
      <x:c r="I75" s="9"/>
      <x:c r="J75" s="9"/>
      <x:c r="K75" s="9"/>
      <x:c r="L75" s="7" t="str">
        <x:f>IF(OR(E75="未评估",COUNT(F75,H75,I75,J75,K75)&lt;5),"",'评分规则'!$D$5*F75/'评分规则'!$C$5+'评分规则'!$D$6*I75/'评分规则'!$C$6+'评分规则'!$D$7*H75/'评分规则'!$C$7+'评分规则'!$D$8*J75/'评分规则'!$C$8+'评分规则'!$D$9*K75/'评分规则'!$C$9)</x:f>
      </x:c>
      <x:c r="M75" s="9"/>
      <x:c r="N75" s="9"/>
      <x:c r="O75" s="9"/>
      <x:c r="P75" s="9"/>
      <x:c r="Q75" s="9"/>
      <x:c r="R75" s="9"/>
      <x:c r="S75" s="1" t="str">
        <x:v>東雲彰人</x:v>
      </x:c>
      <x:c r="T75" s="1" t="str">
        <x:v>巡音ルカ</x:v>
      </x:c>
    </x:row>
    <x:row r="76" ht="26" customHeight="1">
      <x:c r="A76" s="1" t="str">
        <x:v>青柳冬弥/巡音流歌</x:v>
      </x:c>
      <x:c r="B76" s="1" t="str">
        <x:v>Vivid BAD SQUAD</x:v>
      </x:c>
      <x:c r="C76" s="1" t="str">
        <x:v>青柳冬弥</x:v>
      </x:c>
      <x:c r="D76" s="1" t="str">
        <x:v>巡音流歌</x:v>
      </x:c>
      <x:c r="E76" s="9" t="str">
        <x:v>未评估</x:v>
      </x:c>
      <x:c r="F76" s="9"/>
      <x:c r="G76" s="9"/>
      <x:c r="H76" s="1" t="str">
        <x:f>IF(G76="","",CHOOSE(MIN(G76,4)+1,'评分规则'!$F$7,'评分规则'!$F$8,'评分规则'!$F$9,'评分规则'!$F$10,'评分规则'!$F$11))</x:f>
      </x:c>
      <x:c r="I76" s="9"/>
      <x:c r="J76" s="9"/>
      <x:c r="K76" s="9"/>
      <x:c r="L76" s="7" t="str">
        <x:f>IF(OR(E76="未评估",COUNT(F76,H76,I76,J76,K76)&lt;5),"",'评分规则'!$D$5*F76/'评分规则'!$C$5+'评分规则'!$D$6*I76/'评分规则'!$C$6+'评分规则'!$D$7*H76/'评分规则'!$C$7+'评分规则'!$D$8*J76/'评分规则'!$C$8+'评分规则'!$D$9*K76/'评分规则'!$C$9)</x:f>
      </x:c>
      <x:c r="M76" s="9"/>
      <x:c r="N76" s="9"/>
      <x:c r="O76" s="9"/>
      <x:c r="P76" s="9"/>
      <x:c r="Q76" s="9"/>
      <x:c r="R76" s="9"/>
      <x:c r="S76" s="1" t="str">
        <x:v>青柳冬弥</x:v>
      </x:c>
      <x:c r="T76" s="1" t="str">
        <x:v>巡音ルカ</x:v>
      </x:c>
    </x:row>
    <x:row r="77" ht="26" customHeight="1">
      <x:c r="A77" s="1" t="str">
        <x:v>天马司/巡音流歌</x:v>
      </x:c>
      <x:c r="B77" s="1" t="str">
        <x:v>Wonderlands×Showtime</x:v>
      </x:c>
      <x:c r="C77" s="1" t="str">
        <x:v>天马司</x:v>
      </x:c>
      <x:c r="D77" s="1" t="str">
        <x:v>巡音流歌</x:v>
      </x:c>
      <x:c r="E77" s="9" t="str">
        <x:v>未评估</x:v>
      </x:c>
      <x:c r="F77" s="9"/>
      <x:c r="G77" s="9"/>
      <x:c r="H77" s="1" t="str">
        <x:f>IF(G77="","",CHOOSE(MIN(G77,4)+1,'评分规则'!$F$7,'评分规则'!$F$8,'评分规则'!$F$9,'评分规则'!$F$10,'评分规则'!$F$11))</x:f>
      </x:c>
      <x:c r="I77" s="9"/>
      <x:c r="J77" s="9"/>
      <x:c r="K77" s="9"/>
      <x:c r="L77" s="7" t="str">
        <x:f>IF(OR(E77="未评估",COUNT(F77,H77,I77,J77,K77)&lt;5),"",'评分规则'!$D$5*F77/'评分规则'!$C$5+'评分规则'!$D$6*I77/'评分规则'!$C$6+'评分规则'!$D$7*H77/'评分规则'!$C$7+'评分规则'!$D$8*J77/'评分规则'!$C$8+'评分规则'!$D$9*K77/'评分规则'!$C$9)</x:f>
      </x:c>
      <x:c r="M77" s="9"/>
      <x:c r="N77" s="9"/>
      <x:c r="O77" s="9"/>
      <x:c r="P77" s="9"/>
      <x:c r="Q77" s="9"/>
      <x:c r="R77" s="9"/>
      <x:c r="S77" s="1" t="str">
        <x:v>天馬司</x:v>
      </x:c>
      <x:c r="T77" s="1" t="str">
        <x:v>巡音ルカ</x:v>
      </x:c>
    </x:row>
    <x:row r="78" ht="26" customHeight="1">
      <x:c r="A78" s="1" t="str">
        <x:v>凤笑梦/巡音流歌</x:v>
      </x:c>
      <x:c r="B78" s="1" t="str">
        <x:v>Wonderlands×Showtime</x:v>
      </x:c>
      <x:c r="C78" s="1" t="str">
        <x:v>凤笑梦</x:v>
      </x:c>
      <x:c r="D78" s="1" t="str">
        <x:v>巡音流歌</x:v>
      </x:c>
      <x:c r="E78" s="9" t="str">
        <x:v>未评估</x:v>
      </x:c>
      <x:c r="F78" s="9"/>
      <x:c r="G78" s="9"/>
      <x:c r="H78" s="1" t="str">
        <x:f>IF(G78="","",CHOOSE(MIN(G78,4)+1,'评分规则'!$F$7,'评分规则'!$F$8,'评分规则'!$F$9,'评分规则'!$F$10,'评分规则'!$F$11))</x:f>
      </x:c>
      <x:c r="I78" s="9"/>
      <x:c r="J78" s="9"/>
      <x:c r="K78" s="9"/>
      <x:c r="L78" s="7" t="str">
        <x:f>IF(OR(E78="未评估",COUNT(F78,H78,I78,J78,K78)&lt;5),"",'评分规则'!$D$5*F78/'评分规则'!$C$5+'评分规则'!$D$6*I78/'评分规则'!$C$6+'评分规则'!$D$7*H78/'评分规则'!$C$7+'评分规则'!$D$8*J78/'评分规则'!$C$8+'评分规则'!$D$9*K78/'评分规则'!$C$9)</x:f>
      </x:c>
      <x:c r="M78" s="9"/>
      <x:c r="N78" s="9"/>
      <x:c r="O78" s="9"/>
      <x:c r="P78" s="9"/>
      <x:c r="Q78" s="9"/>
      <x:c r="R78" s="9"/>
      <x:c r="S78" s="1" t="str">
        <x:v>鳳えむ</x:v>
      </x:c>
      <x:c r="T78" s="1" t="str">
        <x:v>巡音ルカ</x:v>
      </x:c>
    </x:row>
    <x:row r="79" ht="26" customHeight="1">
      <x:c r="A79" s="1" t="str">
        <x:v>草薙宁宁/巡音流歌</x:v>
      </x:c>
      <x:c r="B79" s="1" t="str">
        <x:v>Wonderlands×Showtime</x:v>
      </x:c>
      <x:c r="C79" s="1" t="str">
        <x:v>草薙宁宁</x:v>
      </x:c>
      <x:c r="D79" s="1" t="str">
        <x:v>巡音流歌</x:v>
      </x:c>
      <x:c r="E79" s="9" t="str">
        <x:v>未评估</x:v>
      </x:c>
      <x:c r="F79" s="9"/>
      <x:c r="G79" s="9"/>
      <x:c r="H79" s="1" t="str">
        <x:f>IF(G79="","",CHOOSE(MIN(G79,4)+1,'评分规则'!$F$7,'评分规则'!$F$8,'评分规则'!$F$9,'评分规则'!$F$10,'评分规则'!$F$11))</x:f>
      </x:c>
      <x:c r="I79" s="9"/>
      <x:c r="J79" s="9"/>
      <x:c r="K79" s="9"/>
      <x:c r="L79" s="7" t="str">
        <x:f>IF(OR(E79="未评估",COUNT(F79,H79,I79,J79,K79)&lt;5),"",'评分规则'!$D$5*F79/'评分规则'!$C$5+'评分规则'!$D$6*I79/'评分规则'!$C$6+'评分规则'!$D$7*H79/'评分规则'!$C$7+'评分规则'!$D$8*J79/'评分规则'!$C$8+'评分规则'!$D$9*K79/'评分规则'!$C$9)</x:f>
      </x:c>
      <x:c r="M79" s="9"/>
      <x:c r="N79" s="9"/>
      <x:c r="O79" s="9"/>
      <x:c r="P79" s="9"/>
      <x:c r="Q79" s="9"/>
      <x:c r="R79" s="9"/>
      <x:c r="S79" s="1" t="str">
        <x:v>草薙寧々</x:v>
      </x:c>
      <x:c r="T79" s="1" t="str">
        <x:v>巡音ルカ</x:v>
      </x:c>
    </x:row>
    <x:row r="80" ht="26" customHeight="1">
      <x:c r="A80" s="1" t="str">
        <x:v>神代类/巡音流歌</x:v>
      </x:c>
      <x:c r="B80" s="1" t="str">
        <x:v>Wonderlands×Showtime</x:v>
      </x:c>
      <x:c r="C80" s="1" t="str">
        <x:v>神代类</x:v>
      </x:c>
      <x:c r="D80" s="1" t="str">
        <x:v>巡音流歌</x:v>
      </x:c>
      <x:c r="E80" s="9" t="str">
        <x:v>未评估</x:v>
      </x:c>
      <x:c r="F80" s="9"/>
      <x:c r="G80" s="9"/>
      <x:c r="H80" s="1" t="str">
        <x:f>IF(G80="","",CHOOSE(MIN(G80,4)+1,'评分规则'!$F$7,'评分规则'!$F$8,'评分规则'!$F$9,'评分规则'!$F$10,'评分规则'!$F$11))</x:f>
      </x:c>
      <x:c r="I80" s="9"/>
      <x:c r="J80" s="9"/>
      <x:c r="K80" s="9"/>
      <x:c r="L80" s="7" t="str">
        <x:f>IF(OR(E80="未评估",COUNT(F80,H80,I80,J80,K80)&lt;5),"",'评分规则'!$D$5*F80/'评分规则'!$C$5+'评分规则'!$D$6*I80/'评分规则'!$C$6+'评分规则'!$D$7*H80/'评分规则'!$C$7+'评分规则'!$D$8*J80/'评分规则'!$C$8+'评分规则'!$D$9*K80/'评分规则'!$C$9)</x:f>
      </x:c>
      <x:c r="M80" s="9"/>
      <x:c r="N80" s="9"/>
      <x:c r="O80" s="9"/>
      <x:c r="P80" s="9"/>
      <x:c r="Q80" s="9"/>
      <x:c r="R80" s="9"/>
      <x:c r="S80" s="1" t="str">
        <x:v>神代類</x:v>
      </x:c>
      <x:c r="T80" s="1" t="str">
        <x:v>巡音ルカ</x:v>
      </x:c>
    </x:row>
    <x:row r="81" ht="26" customHeight="1">
      <x:c r="A81" s="1" t="str">
        <x:v>宵崎奏/巡音流歌</x:v>
      </x:c>
      <x:c r="B81" s="1" t="str">
        <x:v>25时，Nightcord见。</x:v>
      </x:c>
      <x:c r="C81" s="1" t="str">
        <x:v>宵崎奏</x:v>
      </x:c>
      <x:c r="D81" s="1" t="str">
        <x:v>巡音流歌</x:v>
      </x:c>
      <x:c r="E81" s="9" t="str">
        <x:v>未评估</x:v>
      </x:c>
      <x:c r="F81" s="9"/>
      <x:c r="G81" s="9"/>
      <x:c r="H81" s="1" t="str">
        <x:f>IF(G81="","",CHOOSE(MIN(G81,4)+1,'评分规则'!$F$7,'评分规则'!$F$8,'评分规则'!$F$9,'评分规则'!$F$10,'评分规则'!$F$11))</x:f>
      </x:c>
      <x:c r="I81" s="9"/>
      <x:c r="J81" s="9"/>
      <x:c r="K81" s="9"/>
      <x:c r="L81" s="7" t="str">
        <x:f>IF(OR(E81="未评估",COUNT(F81,H81,I81,J81,K81)&lt;5),"",'评分规则'!$D$5*F81/'评分规则'!$C$5+'评分规则'!$D$6*I81/'评分规则'!$C$6+'评分规则'!$D$7*H81/'评分规则'!$C$7+'评分规则'!$D$8*J81/'评分规则'!$C$8+'评分规则'!$D$9*K81/'评分规则'!$C$9)</x:f>
      </x:c>
      <x:c r="M81" s="9"/>
      <x:c r="N81" s="9"/>
      <x:c r="O81" s="9"/>
      <x:c r="P81" s="9"/>
      <x:c r="Q81" s="9"/>
      <x:c r="R81" s="9"/>
      <x:c r="S81" s="1" t="str">
        <x:v>宵崎奏</x:v>
      </x:c>
      <x:c r="T81" s="1" t="str">
        <x:v>巡音ルカ</x:v>
      </x:c>
    </x:row>
    <x:row r="82" ht="26" customHeight="1">
      <x:c r="A82" s="1" t="str">
        <x:v>朝比奈真冬/巡音流歌</x:v>
      </x:c>
      <x:c r="B82" s="1" t="str">
        <x:v>25时，Nightcord见。</x:v>
      </x:c>
      <x:c r="C82" s="1" t="str">
        <x:v>朝比奈真冬</x:v>
      </x:c>
      <x:c r="D82" s="1" t="str">
        <x:v>巡音流歌</x:v>
      </x:c>
      <x:c r="E82" s="9" t="str">
        <x:v>未评估</x:v>
      </x:c>
      <x:c r="F82" s="9"/>
      <x:c r="G82" s="9"/>
      <x:c r="H82" s="1" t="str">
        <x:f>IF(G82="","",CHOOSE(MIN(G82,4)+1,'评分规则'!$F$7,'评分规则'!$F$8,'评分规则'!$F$9,'评分规则'!$F$10,'评分规则'!$F$11))</x:f>
      </x:c>
      <x:c r="I82" s="9"/>
      <x:c r="J82" s="9"/>
      <x:c r="K82" s="9"/>
      <x:c r="L82" s="7" t="str">
        <x:f>IF(OR(E82="未评估",COUNT(F82,H82,I82,J82,K82)&lt;5),"",'评分规则'!$D$5*F82/'评分规则'!$C$5+'评分规则'!$D$6*I82/'评分规则'!$C$6+'评分规则'!$D$7*H82/'评分规则'!$C$7+'评分规则'!$D$8*J82/'评分规则'!$C$8+'评分规则'!$D$9*K82/'评分规则'!$C$9)</x:f>
      </x:c>
      <x:c r="M82" s="9"/>
      <x:c r="N82" s="9"/>
      <x:c r="O82" s="9"/>
      <x:c r="P82" s="9"/>
      <x:c r="Q82" s="9"/>
      <x:c r="R82" s="9"/>
      <x:c r="S82" s="1" t="str">
        <x:v>朝比奈まふゆ</x:v>
      </x:c>
      <x:c r="T82" s="1" t="str">
        <x:v>巡音ルカ</x:v>
      </x:c>
    </x:row>
    <x:row r="83" ht="26" customHeight="1">
      <x:c r="A83" s="1" t="str">
        <x:v>东云绘名/巡音流歌</x:v>
      </x:c>
      <x:c r="B83" s="1" t="str">
        <x:v>25时，Nightcord见。</x:v>
      </x:c>
      <x:c r="C83" s="1" t="str">
        <x:v>东云绘名</x:v>
      </x:c>
      <x:c r="D83" s="1" t="str">
        <x:v>巡音流歌</x:v>
      </x:c>
      <x:c r="E83" s="9" t="str">
        <x:v>未评估</x:v>
      </x:c>
      <x:c r="F83" s="9"/>
      <x:c r="G83" s="9"/>
      <x:c r="H83" s="1" t="str">
        <x:f>IF(G83="","",CHOOSE(MIN(G83,4)+1,'评分规则'!$F$7,'评分规则'!$F$8,'评分规则'!$F$9,'评分规则'!$F$10,'评分规则'!$F$11))</x:f>
      </x:c>
      <x:c r="I83" s="9"/>
      <x:c r="J83" s="9"/>
      <x:c r="K83" s="9"/>
      <x:c r="L83" s="7" t="str">
        <x:f>IF(OR(E83="未评估",COUNT(F83,H83,I83,J83,K83)&lt;5),"",'评分规则'!$D$5*F83/'评分规则'!$C$5+'评分规则'!$D$6*I83/'评分规则'!$C$6+'评分规则'!$D$7*H83/'评分规则'!$C$7+'评分规则'!$D$8*J83/'评分规则'!$C$8+'评分规则'!$D$9*K83/'评分规则'!$C$9)</x:f>
      </x:c>
      <x:c r="M83" s="9"/>
      <x:c r="N83" s="9"/>
      <x:c r="O83" s="9"/>
      <x:c r="P83" s="9"/>
      <x:c r="Q83" s="9"/>
      <x:c r="R83" s="9"/>
      <x:c r="S83" s="1" t="str">
        <x:v>東雲絵名</x:v>
      </x:c>
      <x:c r="T83" s="1" t="str">
        <x:v>巡音ルカ</x:v>
      </x:c>
    </x:row>
    <x:row r="84" ht="26" customHeight="1">
      <x:c r="A84" s="1" t="str">
        <x:v>晓山瑞希/巡音流歌</x:v>
      </x:c>
      <x:c r="B84" s="1" t="str">
        <x:v>25时，Nightcord见。</x:v>
      </x:c>
      <x:c r="C84" s="1" t="str">
        <x:v>晓山瑞希</x:v>
      </x:c>
      <x:c r="D84" s="1" t="str">
        <x:v>巡音流歌</x:v>
      </x:c>
      <x:c r="E84" s="9" t="str">
        <x:v>未评估</x:v>
      </x:c>
      <x:c r="F84" s="9"/>
      <x:c r="G84" s="9"/>
      <x:c r="H84" s="1" t="str">
        <x:f>IF(G84="","",CHOOSE(MIN(G84,4)+1,'评分规则'!$F$7,'评分规则'!$F$8,'评分规则'!$F$9,'评分规则'!$F$10,'评分规则'!$F$11))</x:f>
      </x:c>
      <x:c r="I84" s="9"/>
      <x:c r="J84" s="9"/>
      <x:c r="K84" s="9"/>
      <x:c r="L84" s="7" t="str">
        <x:f>IF(OR(E84="未评估",COUNT(F84,H84,I84,J84,K84)&lt;5),"",'评分规则'!$D$5*F84/'评分规则'!$C$5+'评分规则'!$D$6*I84/'评分规则'!$C$6+'评分规则'!$D$7*H84/'评分规则'!$C$7+'评分规则'!$D$8*J84/'评分规则'!$C$8+'评分规则'!$D$9*K84/'评分规则'!$C$9)</x:f>
      </x:c>
      <x:c r="M84" s="9"/>
      <x:c r="N84" s="9"/>
      <x:c r="O84" s="9"/>
      <x:c r="P84" s="9"/>
      <x:c r="Q84" s="9"/>
      <x:c r="R84" s="9"/>
      <x:c r="S84" s="1" t="str">
        <x:v>暁山瑞希</x:v>
      </x:c>
      <x:c r="T84" s="1" t="str">
        <x:v>巡音ルカ</x:v>
      </x:c>
    </x:row>
    <x:row r="85" ht="115" customHeight="1">
      <x:c r="A85" s="1" t="str">
        <x:v>星乃一歌/MEIKO</x:v>
      </x:c>
      <x:c r="B85" s="1" t="str">
        <x:v>Leo/need</x:v>
      </x:c>
      <x:c r="C85" s="1" t="str">
        <x:v>星乃一歌</x:v>
      </x:c>
      <x:c r="D85" s="1" t="str">
        <x:v>MEIKO</x:v>
      </x:c>
      <x:c r="E85" s="9" t="str">
        <x:v>核查中</x:v>
      </x:c>
      <x:c r="F85" s="9" t="n">
        <x:v>3</x:v>
      </x:c>
      <x:c r="G85" s="9" t="n">
        <x:v>2</x:v>
      </x:c>
      <x:c r="H85" s="1" t="n">
        <x:f>IF(G85="","",CHOOSE(MIN(G85,4)+1,'评分规则'!$F$7,'评分规则'!$F$8,'评分规则'!$F$9,'评分规则'!$F$10,'评分规则'!$F$11))</x:f>
        <x:v>7</x:v>
      </x:c>
      <x:c r="I85" s="9" t="n">
        <x:v>3</x:v>
      </x:c>
      <x:c r="J85" s="9" t="n">
        <x:v>2</x:v>
      </x:c>
      <x:c r="K85" s="9" t="n">
        <x:v>4</x:v>
      </x:c>
      <x:c r="L85" s="7" t="n">
        <x:f>IF(OR(E85="未评估",COUNT(F85,H85,I85,J85,K85)&lt;5),"",'评分规则'!$D$5*F85/'评分规则'!$C$5+'评分规则'!$D$6*I85/'评分规则'!$C$6+'评分规则'!$D$7*H85/'评分规则'!$C$7+'评分规则'!$D$8*J85/'评分规则'!$C$8+'评分规则'!$D$9*K85/'评分规则'!$C$9)</x:f>
        <x:v>74.66666666666667</x:v>
      </x:c>
      <x:c r="M85" s="9" t="str">
        <x:v>B</x:v>
      </x:c>
      <x:c r="N85" s="11" t="str">
        <x:v>日文正文首轮精读；非全库人工审计</x:v>
      </x:c>
      <x:c r="O85" s="11" t="str">
        <x:v>接纳咲希的创作意图并完成共同作品；公开 WITH 并认识自己的创作价值</x:v>
      </x:c>
      <x:c r="P85" s="11" t="str">
        <x:v>起步与早期原创；外部演出；职业与个人创作</x:v>
      </x:c>
      <x:c r="Q85" s="11" t="str">
        <x:v>创作与演奏方法、共同创作关系、公开作品、自我价值认识</x:v>
      </x:c>
      <x:c r="R85" s="11" t="str">
        <x:v>https://github.com/ci-ke/ProjectSekai-story/tree/fdfbd5de4f28f21a326d031439feb9b0491111a5</x:v>
      </x:c>
      <x:c r="S85" s="1" t="str">
        <x:v>星乃一歌</x:v>
      </x:c>
      <x:c r="T85" s="1" t="str">
        <x:v>MEIKO</x:v>
      </x:c>
    </x:row>
    <x:row r="86" ht="26" customHeight="1">
      <x:c r="A86" s="1" t="str">
        <x:v>天马咲希/MEIKO</x:v>
      </x:c>
      <x:c r="B86" s="1" t="str">
        <x:v>Leo/need</x:v>
      </x:c>
      <x:c r="C86" s="1" t="str">
        <x:v>天马咲希</x:v>
      </x:c>
      <x:c r="D86" s="1" t="str">
        <x:v>MEIKO</x:v>
      </x:c>
      <x:c r="E86" s="9" t="str">
        <x:v>未评估</x:v>
      </x:c>
      <x:c r="F86" s="9"/>
      <x:c r="G86" s="9"/>
      <x:c r="H86" s="1" t="str">
        <x:f>IF(G86="","",CHOOSE(MIN(G86,4)+1,'评分规则'!$F$7,'评分规则'!$F$8,'评分规则'!$F$9,'评分规则'!$F$10,'评分规则'!$F$11))</x:f>
      </x:c>
      <x:c r="I86" s="9"/>
      <x:c r="J86" s="9"/>
      <x:c r="K86" s="9"/>
      <x:c r="L86" s="7" t="str">
        <x:f>IF(OR(E86="未评估",COUNT(F86,H86,I86,J86,K86)&lt;5),"",'评分规则'!$D$5*F86/'评分规则'!$C$5+'评分规则'!$D$6*I86/'评分规则'!$C$6+'评分规则'!$D$7*H86/'评分规则'!$C$7+'评分规则'!$D$8*J86/'评分规则'!$C$8+'评分规则'!$D$9*K86/'评分规则'!$C$9)</x:f>
      </x:c>
      <x:c r="M86" s="9"/>
      <x:c r="N86" s="9"/>
      <x:c r="O86" s="9"/>
      <x:c r="P86" s="9"/>
      <x:c r="Q86" s="9"/>
      <x:c r="R86" s="9"/>
      <x:c r="S86" s="1" t="str">
        <x:v>天馬咲希</x:v>
      </x:c>
      <x:c r="T86" s="1" t="str">
        <x:v>MEIKO</x:v>
      </x:c>
    </x:row>
    <x:row r="87" ht="26" customHeight="1">
      <x:c r="A87" s="1" t="str">
        <x:v>望月穗波/MEIKO</x:v>
      </x:c>
      <x:c r="B87" s="1" t="str">
        <x:v>Leo/need</x:v>
      </x:c>
      <x:c r="C87" s="1" t="str">
        <x:v>望月穗波</x:v>
      </x:c>
      <x:c r="D87" s="1" t="str">
        <x:v>MEIKO</x:v>
      </x:c>
      <x:c r="E87" s="9" t="str">
        <x:v>未评估</x:v>
      </x:c>
      <x:c r="F87" s="9"/>
      <x:c r="G87" s="9"/>
      <x:c r="H87" s="1" t="str">
        <x:f>IF(G87="","",CHOOSE(MIN(G87,4)+1,'评分规则'!$F$7,'评分规则'!$F$8,'评分规则'!$F$9,'评分规则'!$F$10,'评分规则'!$F$11))</x:f>
      </x:c>
      <x:c r="I87" s="9"/>
      <x:c r="J87" s="9"/>
      <x:c r="K87" s="9"/>
      <x:c r="L87" s="7" t="str">
        <x:f>IF(OR(E87="未评估",COUNT(F87,H87,I87,J87,K87)&lt;5),"",'评分规则'!$D$5*F87/'评分规则'!$C$5+'评分规则'!$D$6*I87/'评分规则'!$C$6+'评分规则'!$D$7*H87/'评分规则'!$C$7+'评分规则'!$D$8*J87/'评分规则'!$C$8+'评分规则'!$D$9*K87/'评分规则'!$C$9)</x:f>
      </x:c>
      <x:c r="M87" s="9"/>
      <x:c r="N87" s="9"/>
      <x:c r="O87" s="9"/>
      <x:c r="P87" s="9"/>
      <x:c r="Q87" s="9"/>
      <x:c r="R87" s="9"/>
      <x:c r="S87" s="1" t="str">
        <x:v>望月穂波</x:v>
      </x:c>
      <x:c r="T87" s="1" t="str">
        <x:v>MEIKO</x:v>
      </x:c>
    </x:row>
    <x:row r="88" ht="26" customHeight="1">
      <x:c r="A88" s="1" t="str">
        <x:v>日野森志步/MEIKO</x:v>
      </x:c>
      <x:c r="B88" s="1" t="str">
        <x:v>Leo/need</x:v>
      </x:c>
      <x:c r="C88" s="1" t="str">
        <x:v>日野森志步</x:v>
      </x:c>
      <x:c r="D88" s="1" t="str">
        <x:v>MEIKO</x:v>
      </x:c>
      <x:c r="E88" s="9" t="str">
        <x:v>未评估</x:v>
      </x:c>
      <x:c r="F88" s="9"/>
      <x:c r="G88" s="9"/>
      <x:c r="H88" s="1" t="str">
        <x:f>IF(G88="","",CHOOSE(MIN(G88,4)+1,'评分规则'!$F$7,'评分规则'!$F$8,'评分规则'!$F$9,'评分规则'!$F$10,'评分规则'!$F$11))</x:f>
      </x:c>
      <x:c r="I88" s="9"/>
      <x:c r="J88" s="9"/>
      <x:c r="K88" s="9"/>
      <x:c r="L88" s="7" t="str">
        <x:f>IF(OR(E88="未评估",COUNT(F88,H88,I88,J88,K88)&lt;5),"",'评分规则'!$D$5*F88/'评分规则'!$C$5+'评分规则'!$D$6*I88/'评分规则'!$C$6+'评分规则'!$D$7*H88/'评分规则'!$C$7+'评分规则'!$D$8*J88/'评分规则'!$C$8+'评分规则'!$D$9*K88/'评分规则'!$C$9)</x:f>
      </x:c>
      <x:c r="M88" s="9"/>
      <x:c r="N88" s="9"/>
      <x:c r="O88" s="9"/>
      <x:c r="P88" s="9"/>
      <x:c r="Q88" s="9"/>
      <x:c r="R88" s="9"/>
      <x:c r="S88" s="1" t="str">
        <x:v>日野森志歩</x:v>
      </x:c>
      <x:c r="T88" s="1" t="str">
        <x:v>MEIKO</x:v>
      </x:c>
    </x:row>
    <x:row r="89" ht="26" customHeight="1">
      <x:c r="A89" s="1" t="str">
        <x:v>花里实乃理/MEIKO</x:v>
      </x:c>
      <x:c r="B89" s="1" t="str">
        <x:v>MORE MORE JUMP!</x:v>
      </x:c>
      <x:c r="C89" s="1" t="str">
        <x:v>花里实乃理</x:v>
      </x:c>
      <x:c r="D89" s="1" t="str">
        <x:v>MEIKO</x:v>
      </x:c>
      <x:c r="E89" s="9" t="str">
        <x:v>未评估</x:v>
      </x:c>
      <x:c r="F89" s="9"/>
      <x:c r="G89" s="9"/>
      <x:c r="H89" s="1" t="str">
        <x:f>IF(G89="","",CHOOSE(MIN(G89,4)+1,'评分规则'!$F$7,'评分规则'!$F$8,'评分规则'!$F$9,'评分规则'!$F$10,'评分规则'!$F$11))</x:f>
      </x:c>
      <x:c r="I89" s="9"/>
      <x:c r="J89" s="9"/>
      <x:c r="K89" s="9"/>
      <x:c r="L89" s="7" t="str">
        <x:f>IF(OR(E89="未评估",COUNT(F89,H89,I89,J89,K89)&lt;5),"",'评分规则'!$D$5*F89/'评分规则'!$C$5+'评分规则'!$D$6*I89/'评分规则'!$C$6+'评分规则'!$D$7*H89/'评分规则'!$C$7+'评分规则'!$D$8*J89/'评分规则'!$C$8+'评分规则'!$D$9*K89/'评分规则'!$C$9)</x:f>
      </x:c>
      <x:c r="M89" s="9"/>
      <x:c r="N89" s="9"/>
      <x:c r="O89" s="9"/>
      <x:c r="P89" s="9"/>
      <x:c r="Q89" s="9"/>
      <x:c r="R89" s="9"/>
      <x:c r="S89" s="1" t="str">
        <x:v>花里みのり</x:v>
      </x:c>
      <x:c r="T89" s="1" t="str">
        <x:v>MEIKO</x:v>
      </x:c>
    </x:row>
    <x:row r="90" ht="26" customHeight="1">
      <x:c r="A90" s="1" t="str">
        <x:v>桐谷遥/MEIKO</x:v>
      </x:c>
      <x:c r="B90" s="1" t="str">
        <x:v>MORE MORE JUMP!</x:v>
      </x:c>
      <x:c r="C90" s="1" t="str">
        <x:v>桐谷遥</x:v>
      </x:c>
      <x:c r="D90" s="1" t="str">
        <x:v>MEIKO</x:v>
      </x:c>
      <x:c r="E90" s="9" t="str">
        <x:v>未评估</x:v>
      </x:c>
      <x:c r="F90" s="9"/>
      <x:c r="G90" s="9"/>
      <x:c r="H90" s="1" t="str">
        <x:f>IF(G90="","",CHOOSE(MIN(G90,4)+1,'评分规则'!$F$7,'评分规则'!$F$8,'评分规则'!$F$9,'评分规则'!$F$10,'评分规则'!$F$11))</x:f>
      </x:c>
      <x:c r="I90" s="9"/>
      <x:c r="J90" s="9"/>
      <x:c r="K90" s="9"/>
      <x:c r="L90" s="7" t="str">
        <x:f>IF(OR(E90="未评估",COUNT(F90,H90,I90,J90,K90)&lt;5),"",'评分规则'!$D$5*F90/'评分规则'!$C$5+'评分规则'!$D$6*I90/'评分规则'!$C$6+'评分规则'!$D$7*H90/'评分规则'!$C$7+'评分规则'!$D$8*J90/'评分规则'!$C$8+'评分规则'!$D$9*K90/'评分规则'!$C$9)</x:f>
      </x:c>
      <x:c r="M90" s="9"/>
      <x:c r="N90" s="9"/>
      <x:c r="O90" s="9"/>
      <x:c r="P90" s="9"/>
      <x:c r="Q90" s="9"/>
      <x:c r="R90" s="9"/>
      <x:c r="S90" s="1" t="str">
        <x:v>桐谷遥</x:v>
      </x:c>
      <x:c r="T90" s="1" t="str">
        <x:v>MEIKO</x:v>
      </x:c>
    </x:row>
    <x:row r="91" ht="26" customHeight="1">
      <x:c r="A91" s="1" t="str">
        <x:v>桃井爱莉/MEIKO</x:v>
      </x:c>
      <x:c r="B91" s="1" t="str">
        <x:v>MORE MORE JUMP!</x:v>
      </x:c>
      <x:c r="C91" s="1" t="str">
        <x:v>桃井爱莉</x:v>
      </x:c>
      <x:c r="D91" s="1" t="str">
        <x:v>MEIKO</x:v>
      </x:c>
      <x:c r="E91" s="9" t="str">
        <x:v>未评估</x:v>
      </x:c>
      <x:c r="F91" s="9"/>
      <x:c r="G91" s="9"/>
      <x:c r="H91" s="1" t="str">
        <x:f>IF(G91="","",CHOOSE(MIN(G91,4)+1,'评分规则'!$F$7,'评分规则'!$F$8,'评分规则'!$F$9,'评分规则'!$F$10,'评分规则'!$F$11))</x:f>
      </x:c>
      <x:c r="I91" s="9"/>
      <x:c r="J91" s="9"/>
      <x:c r="K91" s="9"/>
      <x:c r="L91" s="7" t="str">
        <x:f>IF(OR(E91="未评估",COUNT(F91,H91,I91,J91,K91)&lt;5),"",'评分规则'!$D$5*F91/'评分规则'!$C$5+'评分规则'!$D$6*I91/'评分规则'!$C$6+'评分规则'!$D$7*H91/'评分规则'!$C$7+'评分规则'!$D$8*J91/'评分规则'!$C$8+'评分规则'!$D$9*K91/'评分规则'!$C$9)</x:f>
      </x:c>
      <x:c r="M91" s="9"/>
      <x:c r="N91" s="9"/>
      <x:c r="O91" s="9"/>
      <x:c r="P91" s="9"/>
      <x:c r="Q91" s="9"/>
      <x:c r="R91" s="9"/>
      <x:c r="S91" s="1" t="str">
        <x:v>桃井愛莉</x:v>
      </x:c>
      <x:c r="T91" s="1" t="str">
        <x:v>MEIKO</x:v>
      </x:c>
    </x:row>
    <x:row r="92" ht="26" customHeight="1">
      <x:c r="A92" s="1" t="str">
        <x:v>日野森雫/MEIKO</x:v>
      </x:c>
      <x:c r="B92" s="1" t="str">
        <x:v>MORE MORE JUMP!</x:v>
      </x:c>
      <x:c r="C92" s="1" t="str">
        <x:v>日野森雫</x:v>
      </x:c>
      <x:c r="D92" s="1" t="str">
        <x:v>MEIKO</x:v>
      </x:c>
      <x:c r="E92" s="9" t="str">
        <x:v>未评估</x:v>
      </x:c>
      <x:c r="F92" s="9"/>
      <x:c r="G92" s="9"/>
      <x:c r="H92" s="1" t="str">
        <x:f>IF(G92="","",CHOOSE(MIN(G92,4)+1,'评分规则'!$F$7,'评分规则'!$F$8,'评分规则'!$F$9,'评分规则'!$F$10,'评分规则'!$F$11))</x:f>
      </x:c>
      <x:c r="I92" s="9"/>
      <x:c r="J92" s="9"/>
      <x:c r="K92" s="9"/>
      <x:c r="L92" s="7" t="str">
        <x:f>IF(OR(E92="未评估",COUNT(F92,H92,I92,J92,K92)&lt;5),"",'评分规则'!$D$5*F92/'评分规则'!$C$5+'评分规则'!$D$6*I92/'评分规则'!$C$6+'评分规则'!$D$7*H92/'评分规则'!$C$7+'评分规则'!$D$8*J92/'评分规则'!$C$8+'评分规则'!$D$9*K92/'评分规则'!$C$9)</x:f>
      </x:c>
      <x:c r="M92" s="9"/>
      <x:c r="N92" s="9"/>
      <x:c r="O92" s="9"/>
      <x:c r="P92" s="9"/>
      <x:c r="Q92" s="9"/>
      <x:c r="R92" s="9"/>
      <x:c r="S92" s="1" t="str">
        <x:v>日野森雫</x:v>
      </x:c>
      <x:c r="T92" s="1" t="str">
        <x:v>MEIKO</x:v>
      </x:c>
    </x:row>
    <x:row r="93" ht="26" customHeight="1">
      <x:c r="A93" s="1" t="str">
        <x:v>小豆泽心羽/MEIKO</x:v>
      </x:c>
      <x:c r="B93" s="1" t="str">
        <x:v>Vivid BAD SQUAD</x:v>
      </x:c>
      <x:c r="C93" s="1" t="str">
        <x:v>小豆泽心羽</x:v>
      </x:c>
      <x:c r="D93" s="1" t="str">
        <x:v>MEIKO</x:v>
      </x:c>
      <x:c r="E93" s="9" t="str">
        <x:v>未评估</x:v>
      </x:c>
      <x:c r="F93" s="9"/>
      <x:c r="G93" s="9"/>
      <x:c r="H93" s="1" t="str">
        <x:f>IF(G93="","",CHOOSE(MIN(G93,4)+1,'评分规则'!$F$7,'评分规则'!$F$8,'评分规则'!$F$9,'评分规则'!$F$10,'评分规则'!$F$11))</x:f>
      </x:c>
      <x:c r="I93" s="9"/>
      <x:c r="J93" s="9"/>
      <x:c r="K93" s="9"/>
      <x:c r="L93" s="7" t="str">
        <x:f>IF(OR(E93="未评估",COUNT(F93,H93,I93,J93,K93)&lt;5),"",'评分规则'!$D$5*F93/'评分规则'!$C$5+'评分规则'!$D$6*I93/'评分规则'!$C$6+'评分规则'!$D$7*H93/'评分规则'!$C$7+'评分规则'!$D$8*J93/'评分规则'!$C$8+'评分规则'!$D$9*K93/'评分规则'!$C$9)</x:f>
      </x:c>
      <x:c r="M93" s="9"/>
      <x:c r="N93" s="9"/>
      <x:c r="O93" s="9"/>
      <x:c r="P93" s="9"/>
      <x:c r="Q93" s="9"/>
      <x:c r="R93" s="9"/>
      <x:c r="S93" s="1" t="str">
        <x:v>小豆沢こはね</x:v>
      </x:c>
      <x:c r="T93" s="1" t="str">
        <x:v>MEIKO</x:v>
      </x:c>
    </x:row>
    <x:row r="94" ht="26" customHeight="1">
      <x:c r="A94" s="1" t="str">
        <x:v>白石杏/MEIKO</x:v>
      </x:c>
      <x:c r="B94" s="1" t="str">
        <x:v>Vivid BAD SQUAD</x:v>
      </x:c>
      <x:c r="C94" s="1" t="str">
        <x:v>白石杏</x:v>
      </x:c>
      <x:c r="D94" s="1" t="str">
        <x:v>MEIKO</x:v>
      </x:c>
      <x:c r="E94" s="9" t="str">
        <x:v>未评估</x:v>
      </x:c>
      <x:c r="F94" s="9"/>
      <x:c r="G94" s="9"/>
      <x:c r="H94" s="1" t="str">
        <x:f>IF(G94="","",CHOOSE(MIN(G94,4)+1,'评分规则'!$F$7,'评分规则'!$F$8,'评分规则'!$F$9,'评分规则'!$F$10,'评分规则'!$F$11))</x:f>
      </x:c>
      <x:c r="I94" s="9"/>
      <x:c r="J94" s="9"/>
      <x:c r="K94" s="9"/>
      <x:c r="L94" s="7" t="str">
        <x:f>IF(OR(E94="未评估",COUNT(F94,H94,I94,J94,K94)&lt;5),"",'评分规则'!$D$5*F94/'评分规则'!$C$5+'评分规则'!$D$6*I94/'评分规则'!$C$6+'评分规则'!$D$7*H94/'评分规则'!$C$7+'评分规则'!$D$8*J94/'评分规则'!$C$8+'评分规则'!$D$9*K94/'评分规则'!$C$9)</x:f>
      </x:c>
      <x:c r="M94" s="9"/>
      <x:c r="N94" s="9"/>
      <x:c r="O94" s="9"/>
      <x:c r="P94" s="9"/>
      <x:c r="Q94" s="9"/>
      <x:c r="R94" s="9"/>
      <x:c r="S94" s="1" t="str">
        <x:v>白石杏</x:v>
      </x:c>
      <x:c r="T94" s="1" t="str">
        <x:v>MEIKO</x:v>
      </x:c>
    </x:row>
    <x:row r="95" ht="26" customHeight="1">
      <x:c r="A95" s="1" t="str">
        <x:v>东云彰人/MEIKO</x:v>
      </x:c>
      <x:c r="B95" s="1" t="str">
        <x:v>Vivid BAD SQUAD</x:v>
      </x:c>
      <x:c r="C95" s="1" t="str">
        <x:v>东云彰人</x:v>
      </x:c>
      <x:c r="D95" s="1" t="str">
        <x:v>MEIKO</x:v>
      </x:c>
      <x:c r="E95" s="9" t="str">
        <x:v>未评估</x:v>
      </x:c>
      <x:c r="F95" s="9"/>
      <x:c r="G95" s="9"/>
      <x:c r="H95" s="1" t="str">
        <x:f>IF(G95="","",CHOOSE(MIN(G95,4)+1,'评分规则'!$F$7,'评分规则'!$F$8,'评分规则'!$F$9,'评分规则'!$F$10,'评分规则'!$F$11))</x:f>
      </x:c>
      <x:c r="I95" s="9"/>
      <x:c r="J95" s="9"/>
      <x:c r="K95" s="9"/>
      <x:c r="L95" s="7" t="str">
        <x:f>IF(OR(E95="未评估",COUNT(F95,H95,I95,J95,K95)&lt;5),"",'评分规则'!$D$5*F95/'评分规则'!$C$5+'评分规则'!$D$6*I95/'评分规则'!$C$6+'评分规则'!$D$7*H95/'评分规则'!$C$7+'评分规则'!$D$8*J95/'评分规则'!$C$8+'评分规则'!$D$9*K95/'评分规则'!$C$9)</x:f>
      </x:c>
      <x:c r="M95" s="9"/>
      <x:c r="N95" s="9"/>
      <x:c r="O95" s="9"/>
      <x:c r="P95" s="9"/>
      <x:c r="Q95" s="9"/>
      <x:c r="R95" s="9"/>
      <x:c r="S95" s="1" t="str">
        <x:v>東雲彰人</x:v>
      </x:c>
      <x:c r="T95" s="1" t="str">
        <x:v>MEIKO</x:v>
      </x:c>
    </x:row>
    <x:row r="96" ht="26" customHeight="1">
      <x:c r="A96" s="1" t="str">
        <x:v>青柳冬弥/MEIKO</x:v>
      </x:c>
      <x:c r="B96" s="1" t="str">
        <x:v>Vivid BAD SQUAD</x:v>
      </x:c>
      <x:c r="C96" s="1" t="str">
        <x:v>青柳冬弥</x:v>
      </x:c>
      <x:c r="D96" s="1" t="str">
        <x:v>MEIKO</x:v>
      </x:c>
      <x:c r="E96" s="9" t="str">
        <x:v>未评估</x:v>
      </x:c>
      <x:c r="F96" s="9"/>
      <x:c r="G96" s="9"/>
      <x:c r="H96" s="1" t="str">
        <x:f>IF(G96="","",CHOOSE(MIN(G96,4)+1,'评分规则'!$F$7,'评分规则'!$F$8,'评分规则'!$F$9,'评分规则'!$F$10,'评分规则'!$F$11))</x:f>
      </x:c>
      <x:c r="I96" s="9"/>
      <x:c r="J96" s="9"/>
      <x:c r="K96" s="9"/>
      <x:c r="L96" s="7" t="str">
        <x:f>IF(OR(E96="未评估",COUNT(F96,H96,I96,J96,K96)&lt;5),"",'评分规则'!$D$5*F96/'评分规则'!$C$5+'评分规则'!$D$6*I96/'评分规则'!$C$6+'评分规则'!$D$7*H96/'评分规则'!$C$7+'评分规则'!$D$8*J96/'评分规则'!$C$8+'评分规则'!$D$9*K96/'评分规则'!$C$9)</x:f>
      </x:c>
      <x:c r="M96" s="9"/>
      <x:c r="N96" s="9"/>
      <x:c r="O96" s="9"/>
      <x:c r="P96" s="9"/>
      <x:c r="Q96" s="9"/>
      <x:c r="R96" s="9"/>
      <x:c r="S96" s="1" t="str">
        <x:v>青柳冬弥</x:v>
      </x:c>
      <x:c r="T96" s="1" t="str">
        <x:v>MEIKO</x:v>
      </x:c>
    </x:row>
    <x:row r="97" ht="26" customHeight="1">
      <x:c r="A97" s="1" t="str">
        <x:v>天马司/MEIKO</x:v>
      </x:c>
      <x:c r="B97" s="1" t="str">
        <x:v>Wonderlands×Showtime</x:v>
      </x:c>
      <x:c r="C97" s="1" t="str">
        <x:v>天马司</x:v>
      </x:c>
      <x:c r="D97" s="1" t="str">
        <x:v>MEIKO</x:v>
      </x:c>
      <x:c r="E97" s="9" t="str">
        <x:v>未评估</x:v>
      </x:c>
      <x:c r="F97" s="9"/>
      <x:c r="G97" s="9"/>
      <x:c r="H97" s="1" t="str">
        <x:f>IF(G97="","",CHOOSE(MIN(G97,4)+1,'评分规则'!$F$7,'评分规则'!$F$8,'评分规则'!$F$9,'评分规则'!$F$10,'评分规则'!$F$11))</x:f>
      </x:c>
      <x:c r="I97" s="9"/>
      <x:c r="J97" s="9"/>
      <x:c r="K97" s="9"/>
      <x:c r="L97" s="7" t="str">
        <x:f>IF(OR(E97="未评估",COUNT(F97,H97,I97,J97,K97)&lt;5),"",'评分规则'!$D$5*F97/'评分规则'!$C$5+'评分规则'!$D$6*I97/'评分规则'!$C$6+'评分规则'!$D$7*H97/'评分规则'!$C$7+'评分规则'!$D$8*J97/'评分规则'!$C$8+'评分规则'!$D$9*K97/'评分规则'!$C$9)</x:f>
      </x:c>
      <x:c r="M97" s="9"/>
      <x:c r="N97" s="9"/>
      <x:c r="O97" s="9"/>
      <x:c r="P97" s="9"/>
      <x:c r="Q97" s="9"/>
      <x:c r="R97" s="9"/>
      <x:c r="S97" s="1" t="str">
        <x:v>天馬司</x:v>
      </x:c>
      <x:c r="T97" s="1" t="str">
        <x:v>MEIKO</x:v>
      </x:c>
    </x:row>
    <x:row r="98" ht="26" customHeight="1">
      <x:c r="A98" s="1" t="str">
        <x:v>凤笑梦/MEIKO</x:v>
      </x:c>
      <x:c r="B98" s="1" t="str">
        <x:v>Wonderlands×Showtime</x:v>
      </x:c>
      <x:c r="C98" s="1" t="str">
        <x:v>凤笑梦</x:v>
      </x:c>
      <x:c r="D98" s="1" t="str">
        <x:v>MEIKO</x:v>
      </x:c>
      <x:c r="E98" s="9" t="str">
        <x:v>未评估</x:v>
      </x:c>
      <x:c r="F98" s="9"/>
      <x:c r="G98" s="9"/>
      <x:c r="H98" s="1" t="str">
        <x:f>IF(G98="","",CHOOSE(MIN(G98,4)+1,'评分规则'!$F$7,'评分规则'!$F$8,'评分规则'!$F$9,'评分规则'!$F$10,'评分规则'!$F$11))</x:f>
      </x:c>
      <x:c r="I98" s="9"/>
      <x:c r="J98" s="9"/>
      <x:c r="K98" s="9"/>
      <x:c r="L98" s="7" t="str">
        <x:f>IF(OR(E98="未评估",COUNT(F98,H98,I98,J98,K98)&lt;5),"",'评分规则'!$D$5*F98/'评分规则'!$C$5+'评分规则'!$D$6*I98/'评分规则'!$C$6+'评分规则'!$D$7*H98/'评分规则'!$C$7+'评分规则'!$D$8*J98/'评分规则'!$C$8+'评分规则'!$D$9*K98/'评分规则'!$C$9)</x:f>
      </x:c>
      <x:c r="M98" s="9"/>
      <x:c r="N98" s="9"/>
      <x:c r="O98" s="9"/>
      <x:c r="P98" s="9"/>
      <x:c r="Q98" s="9"/>
      <x:c r="R98" s="9"/>
      <x:c r="S98" s="1" t="str">
        <x:v>鳳えむ</x:v>
      </x:c>
      <x:c r="T98" s="1" t="str">
        <x:v>MEIKO</x:v>
      </x:c>
    </x:row>
    <x:row r="99" ht="26" customHeight="1">
      <x:c r="A99" s="1" t="str">
        <x:v>草薙宁宁/MEIKO</x:v>
      </x:c>
      <x:c r="B99" s="1" t="str">
        <x:v>Wonderlands×Showtime</x:v>
      </x:c>
      <x:c r="C99" s="1" t="str">
        <x:v>草薙宁宁</x:v>
      </x:c>
      <x:c r="D99" s="1" t="str">
        <x:v>MEIKO</x:v>
      </x:c>
      <x:c r="E99" s="9" t="str">
        <x:v>未评估</x:v>
      </x:c>
      <x:c r="F99" s="9"/>
      <x:c r="G99" s="9"/>
      <x:c r="H99" s="1" t="str">
        <x:f>IF(G99="","",CHOOSE(MIN(G99,4)+1,'评分规则'!$F$7,'评分规则'!$F$8,'评分规则'!$F$9,'评分规则'!$F$10,'评分规则'!$F$11))</x:f>
      </x:c>
      <x:c r="I99" s="9"/>
      <x:c r="J99" s="9"/>
      <x:c r="K99" s="9"/>
      <x:c r="L99" s="7" t="str">
        <x:f>IF(OR(E99="未评估",COUNT(F99,H99,I99,J99,K99)&lt;5),"",'评分规则'!$D$5*F99/'评分规则'!$C$5+'评分规则'!$D$6*I99/'评分规则'!$C$6+'评分规则'!$D$7*H99/'评分规则'!$C$7+'评分规则'!$D$8*J99/'评分规则'!$C$8+'评分规则'!$D$9*K99/'评分规则'!$C$9)</x:f>
      </x:c>
      <x:c r="M99" s="9"/>
      <x:c r="N99" s="9"/>
      <x:c r="O99" s="9"/>
      <x:c r="P99" s="9"/>
      <x:c r="Q99" s="9"/>
      <x:c r="R99" s="9"/>
      <x:c r="S99" s="1" t="str">
        <x:v>草薙寧々</x:v>
      </x:c>
      <x:c r="T99" s="1" t="str">
        <x:v>MEIKO</x:v>
      </x:c>
    </x:row>
    <x:row r="100" ht="26" customHeight="1">
      <x:c r="A100" s="1" t="str">
        <x:v>神代类/MEIKO</x:v>
      </x:c>
      <x:c r="B100" s="1" t="str">
        <x:v>Wonderlands×Showtime</x:v>
      </x:c>
      <x:c r="C100" s="1" t="str">
        <x:v>神代类</x:v>
      </x:c>
      <x:c r="D100" s="1" t="str">
        <x:v>MEIKO</x:v>
      </x:c>
      <x:c r="E100" s="9" t="str">
        <x:v>未评估</x:v>
      </x:c>
      <x:c r="F100" s="9"/>
      <x:c r="G100" s="9"/>
      <x:c r="H100" s="1" t="str">
        <x:f>IF(G100="","",CHOOSE(MIN(G100,4)+1,'评分规则'!$F$7,'评分规则'!$F$8,'评分规则'!$F$9,'评分规则'!$F$10,'评分规则'!$F$11))</x:f>
      </x:c>
      <x:c r="I100" s="9"/>
      <x:c r="J100" s="9"/>
      <x:c r="K100" s="9"/>
      <x:c r="L100" s="7" t="str">
        <x:f>IF(OR(E100="未评估",COUNT(F100,H100,I100,J100,K100)&lt;5),"",'评分规则'!$D$5*F100/'评分规则'!$C$5+'评分规则'!$D$6*I100/'评分规则'!$C$6+'评分规则'!$D$7*H100/'评分规则'!$C$7+'评分规则'!$D$8*J100/'评分规则'!$C$8+'评分规则'!$D$9*K100/'评分规则'!$C$9)</x:f>
      </x:c>
      <x:c r="M100" s="9"/>
      <x:c r="N100" s="9"/>
      <x:c r="O100" s="9"/>
      <x:c r="P100" s="9"/>
      <x:c r="Q100" s="9"/>
      <x:c r="R100" s="9"/>
      <x:c r="S100" s="1" t="str">
        <x:v>神代類</x:v>
      </x:c>
      <x:c r="T100" s="1" t="str">
        <x:v>MEIKO</x:v>
      </x:c>
    </x:row>
    <x:row r="101" ht="26" customHeight="1">
      <x:c r="A101" s="1" t="str">
        <x:v>宵崎奏/MEIKO</x:v>
      </x:c>
      <x:c r="B101" s="1" t="str">
        <x:v>25时，Nightcord见。</x:v>
      </x:c>
      <x:c r="C101" s="1" t="str">
        <x:v>宵崎奏</x:v>
      </x:c>
      <x:c r="D101" s="1" t="str">
        <x:v>MEIKO</x:v>
      </x:c>
      <x:c r="E101" s="9" t="str">
        <x:v>未评估</x:v>
      </x:c>
      <x:c r="F101" s="9"/>
      <x:c r="G101" s="9"/>
      <x:c r="H101" s="1" t="str">
        <x:f>IF(G101="","",CHOOSE(MIN(G101,4)+1,'评分规则'!$F$7,'评分规则'!$F$8,'评分规则'!$F$9,'评分规则'!$F$10,'评分规则'!$F$11))</x:f>
      </x:c>
      <x:c r="I101" s="9"/>
      <x:c r="J101" s="9"/>
      <x:c r="K101" s="9"/>
      <x:c r="L101" s="7" t="str">
        <x:f>IF(OR(E101="未评估",COUNT(F101,H101,I101,J101,K101)&lt;5),"",'评分规则'!$D$5*F101/'评分规则'!$C$5+'评分规则'!$D$6*I101/'评分规则'!$C$6+'评分规则'!$D$7*H101/'评分规则'!$C$7+'评分规则'!$D$8*J101/'评分规则'!$C$8+'评分规则'!$D$9*K101/'评分规则'!$C$9)</x:f>
      </x:c>
      <x:c r="M101" s="9"/>
      <x:c r="N101" s="9"/>
      <x:c r="O101" s="9"/>
      <x:c r="P101" s="9"/>
      <x:c r="Q101" s="9"/>
      <x:c r="R101" s="9"/>
      <x:c r="S101" s="1" t="str">
        <x:v>宵崎奏</x:v>
      </x:c>
      <x:c r="T101" s="1" t="str">
        <x:v>MEIKO</x:v>
      </x:c>
    </x:row>
    <x:row r="102" ht="26" customHeight="1">
      <x:c r="A102" s="1" t="str">
        <x:v>朝比奈真冬/MEIKO</x:v>
      </x:c>
      <x:c r="B102" s="1" t="str">
        <x:v>25时，Nightcord见。</x:v>
      </x:c>
      <x:c r="C102" s="1" t="str">
        <x:v>朝比奈真冬</x:v>
      </x:c>
      <x:c r="D102" s="1" t="str">
        <x:v>MEIKO</x:v>
      </x:c>
      <x:c r="E102" s="9" t="str">
        <x:v>未评估</x:v>
      </x:c>
      <x:c r="F102" s="9"/>
      <x:c r="G102" s="9"/>
      <x:c r="H102" s="1" t="str">
        <x:f>IF(G102="","",CHOOSE(MIN(G102,4)+1,'评分规则'!$F$7,'评分规则'!$F$8,'评分规则'!$F$9,'评分规则'!$F$10,'评分规则'!$F$11))</x:f>
      </x:c>
      <x:c r="I102" s="9"/>
      <x:c r="J102" s="9"/>
      <x:c r="K102" s="9"/>
      <x:c r="L102" s="7" t="str">
        <x:f>IF(OR(E102="未评估",COUNT(F102,H102,I102,J102,K102)&lt;5),"",'评分规则'!$D$5*F102/'评分规则'!$C$5+'评分规则'!$D$6*I102/'评分规则'!$C$6+'评分规则'!$D$7*H102/'评分规则'!$C$7+'评分规则'!$D$8*J102/'评分规则'!$C$8+'评分规则'!$D$9*K102/'评分规则'!$C$9)</x:f>
      </x:c>
      <x:c r="M102" s="9"/>
      <x:c r="N102" s="9"/>
      <x:c r="O102" s="9"/>
      <x:c r="P102" s="9"/>
      <x:c r="Q102" s="9"/>
      <x:c r="R102" s="9"/>
      <x:c r="S102" s="1" t="str">
        <x:v>朝比奈まふゆ</x:v>
      </x:c>
      <x:c r="T102" s="1" t="str">
        <x:v>MEIKO</x:v>
      </x:c>
    </x:row>
    <x:row r="103" ht="26" customHeight="1">
      <x:c r="A103" s="1" t="str">
        <x:v>东云绘名/MEIKO</x:v>
      </x:c>
      <x:c r="B103" s="1" t="str">
        <x:v>25时，Nightcord见。</x:v>
      </x:c>
      <x:c r="C103" s="1" t="str">
        <x:v>东云绘名</x:v>
      </x:c>
      <x:c r="D103" s="1" t="str">
        <x:v>MEIKO</x:v>
      </x:c>
      <x:c r="E103" s="9" t="str">
        <x:v>未评估</x:v>
      </x:c>
      <x:c r="F103" s="9"/>
      <x:c r="G103" s="9"/>
      <x:c r="H103" s="1" t="str">
        <x:f>IF(G103="","",CHOOSE(MIN(G103,4)+1,'评分规则'!$F$7,'评分规则'!$F$8,'评分规则'!$F$9,'评分规则'!$F$10,'评分规则'!$F$11))</x:f>
      </x:c>
      <x:c r="I103" s="9"/>
      <x:c r="J103" s="9"/>
      <x:c r="K103" s="9"/>
      <x:c r="L103" s="7" t="str">
        <x:f>IF(OR(E103="未评估",COUNT(F103,H103,I103,J103,K103)&lt;5),"",'评分规则'!$D$5*F103/'评分规则'!$C$5+'评分规则'!$D$6*I103/'评分规则'!$C$6+'评分规则'!$D$7*H103/'评分规则'!$C$7+'评分规则'!$D$8*J103/'评分规则'!$C$8+'评分规则'!$D$9*K103/'评分规则'!$C$9)</x:f>
      </x:c>
      <x:c r="M103" s="9"/>
      <x:c r="N103" s="9"/>
      <x:c r="O103" s="9"/>
      <x:c r="P103" s="9"/>
      <x:c r="Q103" s="9"/>
      <x:c r="R103" s="9"/>
      <x:c r="S103" s="1" t="str">
        <x:v>東雲絵名</x:v>
      </x:c>
      <x:c r="T103" s="1" t="str">
        <x:v>MEIKO</x:v>
      </x:c>
    </x:row>
    <x:row r="104" ht="26" customHeight="1">
      <x:c r="A104" s="1" t="str">
        <x:v>晓山瑞希/MEIKO</x:v>
      </x:c>
      <x:c r="B104" s="1" t="str">
        <x:v>25时，Nightcord见。</x:v>
      </x:c>
      <x:c r="C104" s="1" t="str">
        <x:v>晓山瑞希</x:v>
      </x:c>
      <x:c r="D104" s="1" t="str">
        <x:v>MEIKO</x:v>
      </x:c>
      <x:c r="E104" s="9" t="str">
        <x:v>未评估</x:v>
      </x:c>
      <x:c r="F104" s="9"/>
      <x:c r="G104" s="9"/>
      <x:c r="H104" s="1" t="str">
        <x:f>IF(G104="","",CHOOSE(MIN(G104,4)+1,'评分规则'!$F$7,'评分规则'!$F$8,'评分规则'!$F$9,'评分规则'!$F$10,'评分规则'!$F$11))</x:f>
      </x:c>
      <x:c r="I104" s="9"/>
      <x:c r="J104" s="9"/>
      <x:c r="K104" s="9"/>
      <x:c r="L104" s="7" t="str">
        <x:f>IF(OR(E104="未评估",COUNT(F104,H104,I104,J104,K104)&lt;5),"",'评分规则'!$D$5*F104/'评分规则'!$C$5+'评分规则'!$D$6*I104/'评分规则'!$C$6+'评分规则'!$D$7*H104/'评分规则'!$C$7+'评分规则'!$D$8*J104/'评分规则'!$C$8+'评分规则'!$D$9*K104/'评分规则'!$C$9)</x:f>
      </x:c>
      <x:c r="M104" s="9"/>
      <x:c r="N104" s="9"/>
      <x:c r="O104" s="9"/>
      <x:c r="P104" s="9"/>
      <x:c r="Q104" s="9"/>
      <x:c r="R104" s="9"/>
      <x:c r="S104" s="1" t="str">
        <x:v>暁山瑞希</x:v>
      </x:c>
      <x:c r="T104" s="1" t="str">
        <x:v>MEIKO</x:v>
      </x:c>
    </x:row>
    <x:row r="105" ht="115" customHeight="1">
      <x:c r="A105" s="1" t="str">
        <x:v>星乃一歌/KAITO</x:v>
      </x:c>
      <x:c r="B105" s="1" t="str">
        <x:v>Leo/need</x:v>
      </x:c>
      <x:c r="C105" s="1" t="str">
        <x:v>星乃一歌</x:v>
      </x:c>
      <x:c r="D105" s="1" t="str">
        <x:v>KAITO</x:v>
      </x:c>
      <x:c r="E105" s="9" t="str">
        <x:v>核查中</x:v>
      </x:c>
      <x:c r="F105" s="9" t="n">
        <x:v>3</x:v>
      </x:c>
      <x:c r="G105" s="9" t="n">
        <x:v>3</x:v>
      </x:c>
      <x:c r="H105" s="1" t="n">
        <x:f>IF(G105="","",CHOOSE(MIN(G105,4)+1,'评分规则'!$F$7,'评分规则'!$F$8,'评分规则'!$F$9,'评分规则'!$F$10,'评分规则'!$F$11))</x:f>
        <x:v>9</x:v>
      </x:c>
      <x:c r="I105" s="9" t="n">
        <x:v>3</x:v>
      </x:c>
      <x:c r="J105" s="9" t="n">
        <x:v>2</x:v>
      </x:c>
      <x:c r="K105" s="9" t="n">
        <x:v>4</x:v>
      </x:c>
      <x:c r="L105" s="7" t="n">
        <x:f>IF(OR(E105="未评估",COUNT(F105,H105,I105,J105,K105)&lt;5),"",'评分规则'!$D$5*F105/'评分规则'!$C$5+'评分规则'!$D$6*I105/'评分规则'!$C$6+'评分规则'!$D$7*H105/'评分规则'!$C$7+'评分规则'!$D$8*J105/'评分规则'!$C$8+'评分规则'!$D$9*K105/'评分规则'!$C$9)</x:f>
        <x:v>77.66666666666667</x:v>
      </x:c>
      <x:c r="M105" s="9" t="str">
        <x:v>B</x:v>
      </x:c>
      <x:c r="N105" s="11" t="str">
        <x:v>日文正文首轮精读；非全库人工审计</x:v>
      </x:c>
      <x:c r="O105" s="11" t="str">
        <x:v>相信并坦率表达自己的想法；把音乐传播方式从现场演出扩展到 MV；识别并协调合奏中各人的表达意图</x:v>
      </x:c>
      <x:c r="P105" s="11" t="str">
        <x:v>起步与早期原创；外部演出；职业与个人创作</x:v>
      </x:c>
      <x:c r="Q105" s="11" t="str">
        <x:v>创作方法、自我肯定、合作协调、音乐传播</x:v>
      </x:c>
      <x:c r="R105" s="11" t="str">
        <x:v>https://github.com/ci-ke/ProjectSekai-story/tree/fdfbd5de4f28f21a326d031439feb9b0491111a5</x:v>
      </x:c>
      <x:c r="S105" s="1" t="str">
        <x:v>星乃一歌</x:v>
      </x:c>
      <x:c r="T105" s="1" t="str">
        <x:v>KAITO</x:v>
      </x:c>
    </x:row>
    <x:row r="106" ht="26" customHeight="1">
      <x:c r="A106" s="1" t="str">
        <x:v>天马咲希/KAITO</x:v>
      </x:c>
      <x:c r="B106" s="1" t="str">
        <x:v>Leo/need</x:v>
      </x:c>
      <x:c r="C106" s="1" t="str">
        <x:v>天马咲希</x:v>
      </x:c>
      <x:c r="D106" s="1" t="str">
        <x:v>KAITO</x:v>
      </x:c>
      <x:c r="E106" s="9" t="str">
        <x:v>未评估</x:v>
      </x:c>
      <x:c r="F106" s="9"/>
      <x:c r="G106" s="9"/>
      <x:c r="H106" s="1" t="str">
        <x:f>IF(G106="","",CHOOSE(MIN(G106,4)+1,'评分规则'!$F$7,'评分规则'!$F$8,'评分规则'!$F$9,'评分规则'!$F$10,'评分规则'!$F$11))</x:f>
      </x:c>
      <x:c r="I106" s="9"/>
      <x:c r="J106" s="9"/>
      <x:c r="K106" s="9"/>
      <x:c r="L106" s="7" t="str">
        <x:f>IF(OR(E106="未评估",COUNT(F106,H106,I106,J106,K106)&lt;5),"",'评分规则'!$D$5*F106/'评分规则'!$C$5+'评分规则'!$D$6*I106/'评分规则'!$C$6+'评分规则'!$D$7*H106/'评分规则'!$C$7+'评分规则'!$D$8*J106/'评分规则'!$C$8+'评分规则'!$D$9*K106/'评分规则'!$C$9)</x:f>
      </x:c>
      <x:c r="M106" s="9"/>
      <x:c r="N106" s="9"/>
      <x:c r="O106" s="9"/>
      <x:c r="P106" s="9"/>
      <x:c r="Q106" s="9"/>
      <x:c r="R106" s="9"/>
      <x:c r="S106" s="1" t="str">
        <x:v>天馬咲希</x:v>
      </x:c>
      <x:c r="T106" s="1" t="str">
        <x:v>KAITO</x:v>
      </x:c>
    </x:row>
    <x:row r="107" ht="26" customHeight="1">
      <x:c r="A107" s="1" t="str">
        <x:v>望月穗波/KAITO</x:v>
      </x:c>
      <x:c r="B107" s="1" t="str">
        <x:v>Leo/need</x:v>
      </x:c>
      <x:c r="C107" s="1" t="str">
        <x:v>望月穗波</x:v>
      </x:c>
      <x:c r="D107" s="1" t="str">
        <x:v>KAITO</x:v>
      </x:c>
      <x:c r="E107" s="9" t="str">
        <x:v>未评估</x:v>
      </x:c>
      <x:c r="F107" s="9"/>
      <x:c r="G107" s="9"/>
      <x:c r="H107" s="1" t="str">
        <x:f>IF(G107="","",CHOOSE(MIN(G107,4)+1,'评分规则'!$F$7,'评分规则'!$F$8,'评分规则'!$F$9,'评分规则'!$F$10,'评分规则'!$F$11))</x:f>
      </x:c>
      <x:c r="I107" s="9"/>
      <x:c r="J107" s="9"/>
      <x:c r="K107" s="9"/>
      <x:c r="L107" s="7" t="str">
        <x:f>IF(OR(E107="未评估",COUNT(F107,H107,I107,J107,K107)&lt;5),"",'评分规则'!$D$5*F107/'评分规则'!$C$5+'评分规则'!$D$6*I107/'评分规则'!$C$6+'评分规则'!$D$7*H107/'评分规则'!$C$7+'评分规则'!$D$8*J107/'评分规则'!$C$8+'评分规则'!$D$9*K107/'评分规则'!$C$9)</x:f>
      </x:c>
      <x:c r="M107" s="9"/>
      <x:c r="N107" s="9"/>
      <x:c r="O107" s="9"/>
      <x:c r="P107" s="9"/>
      <x:c r="Q107" s="9"/>
      <x:c r="R107" s="9"/>
      <x:c r="S107" s="1" t="str">
        <x:v>望月穂波</x:v>
      </x:c>
      <x:c r="T107" s="1" t="str">
        <x:v>KAITO</x:v>
      </x:c>
    </x:row>
    <x:row r="108" ht="26" customHeight="1">
      <x:c r="A108" s="1" t="str">
        <x:v>日野森志步/KAITO</x:v>
      </x:c>
      <x:c r="B108" s="1" t="str">
        <x:v>Leo/need</x:v>
      </x:c>
      <x:c r="C108" s="1" t="str">
        <x:v>日野森志步</x:v>
      </x:c>
      <x:c r="D108" s="1" t="str">
        <x:v>KAITO</x:v>
      </x:c>
      <x:c r="E108" s="9" t="str">
        <x:v>未评估</x:v>
      </x:c>
      <x:c r="F108" s="9"/>
      <x:c r="G108" s="9"/>
      <x:c r="H108" s="1" t="str">
        <x:f>IF(G108="","",CHOOSE(MIN(G108,4)+1,'评分规则'!$F$7,'评分规则'!$F$8,'评分规则'!$F$9,'评分规则'!$F$10,'评分规则'!$F$11))</x:f>
      </x:c>
      <x:c r="I108" s="9"/>
      <x:c r="J108" s="9"/>
      <x:c r="K108" s="9"/>
      <x:c r="L108" s="7" t="str">
        <x:f>IF(OR(E108="未评估",COUNT(F108,H108,I108,J108,K108)&lt;5),"",'评分规则'!$D$5*F108/'评分规则'!$C$5+'评分规则'!$D$6*I108/'评分规则'!$C$6+'评分规则'!$D$7*H108/'评分规则'!$C$7+'评分规则'!$D$8*J108/'评分规则'!$C$8+'评分规则'!$D$9*K108/'评分规则'!$C$9)</x:f>
      </x:c>
      <x:c r="M108" s="9"/>
      <x:c r="N108" s="9"/>
      <x:c r="O108" s="9"/>
      <x:c r="P108" s="9"/>
      <x:c r="Q108" s="9"/>
      <x:c r="R108" s="9"/>
      <x:c r="S108" s="1" t="str">
        <x:v>日野森志歩</x:v>
      </x:c>
      <x:c r="T108" s="1" t="str">
        <x:v>KAITO</x:v>
      </x:c>
    </x:row>
    <x:row r="109" ht="26" customHeight="1">
      <x:c r="A109" s="1" t="str">
        <x:v>花里实乃理/KAITO</x:v>
      </x:c>
      <x:c r="B109" s="1" t="str">
        <x:v>MORE MORE JUMP!</x:v>
      </x:c>
      <x:c r="C109" s="1" t="str">
        <x:v>花里实乃理</x:v>
      </x:c>
      <x:c r="D109" s="1" t="str">
        <x:v>KAITO</x:v>
      </x:c>
      <x:c r="E109" s="9" t="str">
        <x:v>未评估</x:v>
      </x:c>
      <x:c r="F109" s="9"/>
      <x:c r="G109" s="9"/>
      <x:c r="H109" s="1" t="str">
        <x:f>IF(G109="","",CHOOSE(MIN(G109,4)+1,'评分规则'!$F$7,'评分规则'!$F$8,'评分规则'!$F$9,'评分规则'!$F$10,'评分规则'!$F$11))</x:f>
      </x:c>
      <x:c r="I109" s="9"/>
      <x:c r="J109" s="9"/>
      <x:c r="K109" s="9"/>
      <x:c r="L109" s="7" t="str">
        <x:f>IF(OR(E109="未评估",COUNT(F109,H109,I109,J109,K109)&lt;5),"",'评分规则'!$D$5*F109/'评分规则'!$C$5+'评分规则'!$D$6*I109/'评分规则'!$C$6+'评分规则'!$D$7*H109/'评分规则'!$C$7+'评分规则'!$D$8*J109/'评分规则'!$C$8+'评分规则'!$D$9*K109/'评分规则'!$C$9)</x:f>
      </x:c>
      <x:c r="M109" s="9"/>
      <x:c r="N109" s="9"/>
      <x:c r="O109" s="9"/>
      <x:c r="P109" s="9"/>
      <x:c r="Q109" s="9"/>
      <x:c r="R109" s="9"/>
      <x:c r="S109" s="1" t="str">
        <x:v>花里みのり</x:v>
      </x:c>
      <x:c r="T109" s="1" t="str">
        <x:v>KAITO</x:v>
      </x:c>
    </x:row>
    <x:row r="110" ht="26" customHeight="1">
      <x:c r="A110" s="1" t="str">
        <x:v>桐谷遥/KAITO</x:v>
      </x:c>
      <x:c r="B110" s="1" t="str">
        <x:v>MORE MORE JUMP!</x:v>
      </x:c>
      <x:c r="C110" s="1" t="str">
        <x:v>桐谷遥</x:v>
      </x:c>
      <x:c r="D110" s="1" t="str">
        <x:v>KAITO</x:v>
      </x:c>
      <x:c r="E110" s="9" t="str">
        <x:v>未评估</x:v>
      </x:c>
      <x:c r="F110" s="9"/>
      <x:c r="G110" s="9"/>
      <x:c r="H110" s="1" t="str">
        <x:f>IF(G110="","",CHOOSE(MIN(G110,4)+1,'评分规则'!$F$7,'评分规则'!$F$8,'评分规则'!$F$9,'评分规则'!$F$10,'评分规则'!$F$11))</x:f>
      </x:c>
      <x:c r="I110" s="9"/>
      <x:c r="J110" s="9"/>
      <x:c r="K110" s="9"/>
      <x:c r="L110" s="7" t="str">
        <x:f>IF(OR(E110="未评估",COUNT(F110,H110,I110,J110,K110)&lt;5),"",'评分规则'!$D$5*F110/'评分规则'!$C$5+'评分规则'!$D$6*I110/'评分规则'!$C$6+'评分规则'!$D$7*H110/'评分规则'!$C$7+'评分规则'!$D$8*J110/'评分规则'!$C$8+'评分规则'!$D$9*K110/'评分规则'!$C$9)</x:f>
      </x:c>
      <x:c r="M110" s="9"/>
      <x:c r="N110" s="9"/>
      <x:c r="O110" s="9"/>
      <x:c r="P110" s="9"/>
      <x:c r="Q110" s="9"/>
      <x:c r="R110" s="9"/>
      <x:c r="S110" s="1" t="str">
        <x:v>桐谷遥</x:v>
      </x:c>
      <x:c r="T110" s="1" t="str">
        <x:v>KAITO</x:v>
      </x:c>
    </x:row>
    <x:row r="111" ht="26" customHeight="1">
      <x:c r="A111" s="1" t="str">
        <x:v>桃井爱莉/KAITO</x:v>
      </x:c>
      <x:c r="B111" s="1" t="str">
        <x:v>MORE MORE JUMP!</x:v>
      </x:c>
      <x:c r="C111" s="1" t="str">
        <x:v>桃井爱莉</x:v>
      </x:c>
      <x:c r="D111" s="1" t="str">
        <x:v>KAITO</x:v>
      </x:c>
      <x:c r="E111" s="9" t="str">
        <x:v>未评估</x:v>
      </x:c>
      <x:c r="F111" s="9"/>
      <x:c r="G111" s="9"/>
      <x:c r="H111" s="1" t="str">
        <x:f>IF(G111="","",CHOOSE(MIN(G111,4)+1,'评分规则'!$F$7,'评分规则'!$F$8,'评分规则'!$F$9,'评分规则'!$F$10,'评分规则'!$F$11))</x:f>
      </x:c>
      <x:c r="I111" s="9"/>
      <x:c r="J111" s="9"/>
      <x:c r="K111" s="9"/>
      <x:c r="L111" s="7" t="str">
        <x:f>IF(OR(E111="未评估",COUNT(F111,H111,I111,J111,K111)&lt;5),"",'评分规则'!$D$5*F111/'评分规则'!$C$5+'评分规则'!$D$6*I111/'评分规则'!$C$6+'评分规则'!$D$7*H111/'评分规则'!$C$7+'评分规则'!$D$8*J111/'评分规则'!$C$8+'评分规则'!$D$9*K111/'评分规则'!$C$9)</x:f>
      </x:c>
      <x:c r="M111" s="9"/>
      <x:c r="N111" s="9"/>
      <x:c r="O111" s="9"/>
      <x:c r="P111" s="9"/>
      <x:c r="Q111" s="9"/>
      <x:c r="R111" s="9"/>
      <x:c r="S111" s="1" t="str">
        <x:v>桃井愛莉</x:v>
      </x:c>
      <x:c r="T111" s="1" t="str">
        <x:v>KAITO</x:v>
      </x:c>
    </x:row>
    <x:row r="112" ht="26" customHeight="1">
      <x:c r="A112" s="1" t="str">
        <x:v>日野森雫/KAITO</x:v>
      </x:c>
      <x:c r="B112" s="1" t="str">
        <x:v>MORE MORE JUMP!</x:v>
      </x:c>
      <x:c r="C112" s="1" t="str">
        <x:v>日野森雫</x:v>
      </x:c>
      <x:c r="D112" s="1" t="str">
        <x:v>KAITO</x:v>
      </x:c>
      <x:c r="E112" s="9" t="str">
        <x:v>未评估</x:v>
      </x:c>
      <x:c r="F112" s="9"/>
      <x:c r="G112" s="9"/>
      <x:c r="H112" s="1" t="str">
        <x:f>IF(G112="","",CHOOSE(MIN(G112,4)+1,'评分规则'!$F$7,'评分规则'!$F$8,'评分规则'!$F$9,'评分规则'!$F$10,'评分规则'!$F$11))</x:f>
      </x:c>
      <x:c r="I112" s="9"/>
      <x:c r="J112" s="9"/>
      <x:c r="K112" s="9"/>
      <x:c r="L112" s="7" t="str">
        <x:f>IF(OR(E112="未评估",COUNT(F112,H112,I112,J112,K112)&lt;5),"",'评分规则'!$D$5*F112/'评分规则'!$C$5+'评分规则'!$D$6*I112/'评分规则'!$C$6+'评分规则'!$D$7*H112/'评分规则'!$C$7+'评分规则'!$D$8*J112/'评分规则'!$C$8+'评分规则'!$D$9*K112/'评分规则'!$C$9)</x:f>
      </x:c>
      <x:c r="M112" s="9"/>
      <x:c r="N112" s="9"/>
      <x:c r="O112" s="9"/>
      <x:c r="P112" s="9"/>
      <x:c r="Q112" s="9"/>
      <x:c r="R112" s="9"/>
      <x:c r="S112" s="1" t="str">
        <x:v>日野森雫</x:v>
      </x:c>
      <x:c r="T112" s="1" t="str">
        <x:v>KAITO</x:v>
      </x:c>
    </x:row>
    <x:row r="113" ht="26" customHeight="1">
      <x:c r="A113" s="1" t="str">
        <x:v>小豆泽心羽/KAITO</x:v>
      </x:c>
      <x:c r="B113" s="1" t="str">
        <x:v>Vivid BAD SQUAD</x:v>
      </x:c>
      <x:c r="C113" s="1" t="str">
        <x:v>小豆泽心羽</x:v>
      </x:c>
      <x:c r="D113" s="1" t="str">
        <x:v>KAITO</x:v>
      </x:c>
      <x:c r="E113" s="9" t="str">
        <x:v>未评估</x:v>
      </x:c>
      <x:c r="F113" s="9"/>
      <x:c r="G113" s="9"/>
      <x:c r="H113" s="1" t="str">
        <x:f>IF(G113="","",CHOOSE(MIN(G113,4)+1,'评分规则'!$F$7,'评分规则'!$F$8,'评分规则'!$F$9,'评分规则'!$F$10,'评分规则'!$F$11))</x:f>
      </x:c>
      <x:c r="I113" s="9"/>
      <x:c r="J113" s="9"/>
      <x:c r="K113" s="9"/>
      <x:c r="L113" s="7" t="str">
        <x:f>IF(OR(E113="未评估",COUNT(F113,H113,I113,J113,K113)&lt;5),"",'评分规则'!$D$5*F113/'评分规则'!$C$5+'评分规则'!$D$6*I113/'评分规则'!$C$6+'评分规则'!$D$7*H113/'评分规则'!$C$7+'评分规则'!$D$8*J113/'评分规则'!$C$8+'评分规则'!$D$9*K113/'评分规则'!$C$9)</x:f>
      </x:c>
      <x:c r="M113" s="9"/>
      <x:c r="N113" s="9"/>
      <x:c r="O113" s="9"/>
      <x:c r="P113" s="9"/>
      <x:c r="Q113" s="9"/>
      <x:c r="R113" s="9"/>
      <x:c r="S113" s="1" t="str">
        <x:v>小豆沢こはね</x:v>
      </x:c>
      <x:c r="T113" s="1" t="str">
        <x:v>KAITO</x:v>
      </x:c>
    </x:row>
    <x:row r="114" ht="26" customHeight="1">
      <x:c r="A114" s="1" t="str">
        <x:v>白石杏/KAITO</x:v>
      </x:c>
      <x:c r="B114" s="1" t="str">
        <x:v>Vivid BAD SQUAD</x:v>
      </x:c>
      <x:c r="C114" s="1" t="str">
        <x:v>白石杏</x:v>
      </x:c>
      <x:c r="D114" s="1" t="str">
        <x:v>KAITO</x:v>
      </x:c>
      <x:c r="E114" s="9" t="str">
        <x:v>未评估</x:v>
      </x:c>
      <x:c r="F114" s="9"/>
      <x:c r="G114" s="9"/>
      <x:c r="H114" s="1" t="str">
        <x:f>IF(G114="","",CHOOSE(MIN(G114,4)+1,'评分规则'!$F$7,'评分规则'!$F$8,'评分规则'!$F$9,'评分规则'!$F$10,'评分规则'!$F$11))</x:f>
      </x:c>
      <x:c r="I114" s="9"/>
      <x:c r="J114" s="9"/>
      <x:c r="K114" s="9"/>
      <x:c r="L114" s="7" t="str">
        <x:f>IF(OR(E114="未评估",COUNT(F114,H114,I114,J114,K114)&lt;5),"",'评分规则'!$D$5*F114/'评分规则'!$C$5+'评分规则'!$D$6*I114/'评分规则'!$C$6+'评分规则'!$D$7*H114/'评分规则'!$C$7+'评分规则'!$D$8*J114/'评分规则'!$C$8+'评分规则'!$D$9*K114/'评分规则'!$C$9)</x:f>
      </x:c>
      <x:c r="M114" s="9"/>
      <x:c r="N114" s="9"/>
      <x:c r="O114" s="9"/>
      <x:c r="P114" s="9"/>
      <x:c r="Q114" s="9"/>
      <x:c r="R114" s="9"/>
      <x:c r="S114" s="1" t="str">
        <x:v>白石杏</x:v>
      </x:c>
      <x:c r="T114" s="1" t="str">
        <x:v>KAITO</x:v>
      </x:c>
    </x:row>
    <x:row r="115" ht="26" customHeight="1">
      <x:c r="A115" s="1" t="str">
        <x:v>东云彰人/KAITO</x:v>
      </x:c>
      <x:c r="B115" s="1" t="str">
        <x:v>Vivid BAD SQUAD</x:v>
      </x:c>
      <x:c r="C115" s="1" t="str">
        <x:v>东云彰人</x:v>
      </x:c>
      <x:c r="D115" s="1" t="str">
        <x:v>KAITO</x:v>
      </x:c>
      <x:c r="E115" s="9" t="str">
        <x:v>未评估</x:v>
      </x:c>
      <x:c r="F115" s="9"/>
      <x:c r="G115" s="9"/>
      <x:c r="H115" s="1" t="str">
        <x:f>IF(G115="","",CHOOSE(MIN(G115,4)+1,'评分规则'!$F$7,'评分规则'!$F$8,'评分规则'!$F$9,'评分规则'!$F$10,'评分规则'!$F$11))</x:f>
      </x:c>
      <x:c r="I115" s="9"/>
      <x:c r="J115" s="9"/>
      <x:c r="K115" s="9"/>
      <x:c r="L115" s="7" t="str">
        <x:f>IF(OR(E115="未评估",COUNT(F115,H115,I115,J115,K115)&lt;5),"",'评分规则'!$D$5*F115/'评分规则'!$C$5+'评分规则'!$D$6*I115/'评分规则'!$C$6+'评分规则'!$D$7*H115/'评分规则'!$C$7+'评分规则'!$D$8*J115/'评分规则'!$C$8+'评分规则'!$D$9*K115/'评分规则'!$C$9)</x:f>
      </x:c>
      <x:c r="M115" s="9"/>
      <x:c r="N115" s="9"/>
      <x:c r="O115" s="9"/>
      <x:c r="P115" s="9"/>
      <x:c r="Q115" s="9"/>
      <x:c r="R115" s="9"/>
      <x:c r="S115" s="1" t="str">
        <x:v>東雲彰人</x:v>
      </x:c>
      <x:c r="T115" s="1" t="str">
        <x:v>KAITO</x:v>
      </x:c>
    </x:row>
    <x:row r="116" ht="26" customHeight="1">
      <x:c r="A116" s="1" t="str">
        <x:v>青柳冬弥/KAITO</x:v>
      </x:c>
      <x:c r="B116" s="1" t="str">
        <x:v>Vivid BAD SQUAD</x:v>
      </x:c>
      <x:c r="C116" s="1" t="str">
        <x:v>青柳冬弥</x:v>
      </x:c>
      <x:c r="D116" s="1" t="str">
        <x:v>KAITO</x:v>
      </x:c>
      <x:c r="E116" s="9" t="str">
        <x:v>未评估</x:v>
      </x:c>
      <x:c r="F116" s="9"/>
      <x:c r="G116" s="9"/>
      <x:c r="H116" s="1" t="str">
        <x:f>IF(G116="","",CHOOSE(MIN(G116,4)+1,'评分规则'!$F$7,'评分规则'!$F$8,'评分规则'!$F$9,'评分规则'!$F$10,'评分规则'!$F$11))</x:f>
      </x:c>
      <x:c r="I116" s="9"/>
      <x:c r="J116" s="9"/>
      <x:c r="K116" s="9"/>
      <x:c r="L116" s="7" t="str">
        <x:f>IF(OR(E116="未评估",COUNT(F116,H116,I116,J116,K116)&lt;5),"",'评分规则'!$D$5*F116/'评分规则'!$C$5+'评分规则'!$D$6*I116/'评分规则'!$C$6+'评分规则'!$D$7*H116/'评分规则'!$C$7+'评分规则'!$D$8*J116/'评分规则'!$C$8+'评分规则'!$D$9*K116/'评分规则'!$C$9)</x:f>
      </x:c>
      <x:c r="M116" s="9"/>
      <x:c r="N116" s="9"/>
      <x:c r="O116" s="9"/>
      <x:c r="P116" s="9"/>
      <x:c r="Q116" s="9"/>
      <x:c r="R116" s="9"/>
      <x:c r="S116" s="1" t="str">
        <x:v>青柳冬弥</x:v>
      </x:c>
      <x:c r="T116" s="1" t="str">
        <x:v>KAITO</x:v>
      </x:c>
    </x:row>
    <x:row r="117" ht="26" customHeight="1">
      <x:c r="A117" s="1" t="str">
        <x:v>天马司/KAITO</x:v>
      </x:c>
      <x:c r="B117" s="1" t="str">
        <x:v>Wonderlands×Showtime</x:v>
      </x:c>
      <x:c r="C117" s="1" t="str">
        <x:v>天马司</x:v>
      </x:c>
      <x:c r="D117" s="1" t="str">
        <x:v>KAITO</x:v>
      </x:c>
      <x:c r="E117" s="9" t="str">
        <x:v>未评估</x:v>
      </x:c>
      <x:c r="F117" s="9"/>
      <x:c r="G117" s="9"/>
      <x:c r="H117" s="1" t="str">
        <x:f>IF(G117="","",CHOOSE(MIN(G117,4)+1,'评分规则'!$F$7,'评分规则'!$F$8,'评分规则'!$F$9,'评分规则'!$F$10,'评分规则'!$F$11))</x:f>
      </x:c>
      <x:c r="I117" s="9"/>
      <x:c r="J117" s="9"/>
      <x:c r="K117" s="9"/>
      <x:c r="L117" s="7" t="str">
        <x:f>IF(OR(E117="未评估",COUNT(F117,H117,I117,J117,K117)&lt;5),"",'评分规则'!$D$5*F117/'评分规则'!$C$5+'评分规则'!$D$6*I117/'评分规则'!$C$6+'评分规则'!$D$7*H117/'评分规则'!$C$7+'评分规则'!$D$8*J117/'评分规则'!$C$8+'评分规则'!$D$9*K117/'评分规则'!$C$9)</x:f>
      </x:c>
      <x:c r="M117" s="9"/>
      <x:c r="N117" s="9"/>
      <x:c r="O117" s="9"/>
      <x:c r="P117" s="9"/>
      <x:c r="Q117" s="9"/>
      <x:c r="R117" s="9"/>
      <x:c r="S117" s="1" t="str">
        <x:v>天馬司</x:v>
      </x:c>
      <x:c r="T117" s="1" t="str">
        <x:v>KAITO</x:v>
      </x:c>
    </x:row>
    <x:row r="118" ht="26" customHeight="1">
      <x:c r="A118" s="1" t="str">
        <x:v>凤笑梦/KAITO</x:v>
      </x:c>
      <x:c r="B118" s="1" t="str">
        <x:v>Wonderlands×Showtime</x:v>
      </x:c>
      <x:c r="C118" s="1" t="str">
        <x:v>凤笑梦</x:v>
      </x:c>
      <x:c r="D118" s="1" t="str">
        <x:v>KAITO</x:v>
      </x:c>
      <x:c r="E118" s="9" t="str">
        <x:v>未评估</x:v>
      </x:c>
      <x:c r="F118" s="9"/>
      <x:c r="G118" s="9"/>
      <x:c r="H118" s="1" t="str">
        <x:f>IF(G118="","",CHOOSE(MIN(G118,4)+1,'评分规则'!$F$7,'评分规则'!$F$8,'评分规则'!$F$9,'评分规则'!$F$10,'评分规则'!$F$11))</x:f>
      </x:c>
      <x:c r="I118" s="9"/>
      <x:c r="J118" s="9"/>
      <x:c r="K118" s="9"/>
      <x:c r="L118" s="7" t="str">
        <x:f>IF(OR(E118="未评估",COUNT(F118,H118,I118,J118,K118)&lt;5),"",'评分规则'!$D$5*F118/'评分规则'!$C$5+'评分规则'!$D$6*I118/'评分规则'!$C$6+'评分规则'!$D$7*H118/'评分规则'!$C$7+'评分规则'!$D$8*J118/'评分规则'!$C$8+'评分规则'!$D$9*K118/'评分规则'!$C$9)</x:f>
      </x:c>
      <x:c r="M118" s="9"/>
      <x:c r="N118" s="9"/>
      <x:c r="O118" s="9"/>
      <x:c r="P118" s="9"/>
      <x:c r="Q118" s="9"/>
      <x:c r="R118" s="9"/>
      <x:c r="S118" s="1" t="str">
        <x:v>鳳えむ</x:v>
      </x:c>
      <x:c r="T118" s="1" t="str">
        <x:v>KAITO</x:v>
      </x:c>
    </x:row>
    <x:row r="119" ht="26" customHeight="1">
      <x:c r="A119" s="1" t="str">
        <x:v>草薙宁宁/KAITO</x:v>
      </x:c>
      <x:c r="B119" s="1" t="str">
        <x:v>Wonderlands×Showtime</x:v>
      </x:c>
      <x:c r="C119" s="1" t="str">
        <x:v>草薙宁宁</x:v>
      </x:c>
      <x:c r="D119" s="1" t="str">
        <x:v>KAITO</x:v>
      </x:c>
      <x:c r="E119" s="9" t="str">
        <x:v>未评估</x:v>
      </x:c>
      <x:c r="F119" s="9"/>
      <x:c r="G119" s="9"/>
      <x:c r="H119" s="1" t="str">
        <x:f>IF(G119="","",CHOOSE(MIN(G119,4)+1,'评分规则'!$F$7,'评分规则'!$F$8,'评分规则'!$F$9,'评分规则'!$F$10,'评分规则'!$F$11))</x:f>
      </x:c>
      <x:c r="I119" s="9"/>
      <x:c r="J119" s="9"/>
      <x:c r="K119" s="9"/>
      <x:c r="L119" s="7" t="str">
        <x:f>IF(OR(E119="未评估",COUNT(F119,H119,I119,J119,K119)&lt;5),"",'评分规则'!$D$5*F119/'评分规则'!$C$5+'评分规则'!$D$6*I119/'评分规则'!$C$6+'评分规则'!$D$7*H119/'评分规则'!$C$7+'评分规则'!$D$8*J119/'评分规则'!$C$8+'评分规则'!$D$9*K119/'评分规则'!$C$9)</x:f>
      </x:c>
      <x:c r="M119" s="9"/>
      <x:c r="N119" s="9"/>
      <x:c r="O119" s="9"/>
      <x:c r="P119" s="9"/>
      <x:c r="Q119" s="9"/>
      <x:c r="R119" s="9"/>
      <x:c r="S119" s="1" t="str">
        <x:v>草薙寧々</x:v>
      </x:c>
      <x:c r="T119" s="1" t="str">
        <x:v>KAITO</x:v>
      </x:c>
    </x:row>
    <x:row r="120" ht="26" customHeight="1">
      <x:c r="A120" s="1" t="str">
        <x:v>神代类/KAITO</x:v>
      </x:c>
      <x:c r="B120" s="1" t="str">
        <x:v>Wonderlands×Showtime</x:v>
      </x:c>
      <x:c r="C120" s="1" t="str">
        <x:v>神代类</x:v>
      </x:c>
      <x:c r="D120" s="1" t="str">
        <x:v>KAITO</x:v>
      </x:c>
      <x:c r="E120" s="9" t="str">
        <x:v>未评估</x:v>
      </x:c>
      <x:c r="F120" s="9"/>
      <x:c r="G120" s="9"/>
      <x:c r="H120" s="1" t="str">
        <x:f>IF(G120="","",CHOOSE(MIN(G120,4)+1,'评分规则'!$F$7,'评分规则'!$F$8,'评分规则'!$F$9,'评分规则'!$F$10,'评分规则'!$F$11))</x:f>
      </x:c>
      <x:c r="I120" s="9"/>
      <x:c r="J120" s="9"/>
      <x:c r="K120" s="9"/>
      <x:c r="L120" s="7" t="str">
        <x:f>IF(OR(E120="未评估",COUNT(F120,H120,I120,J120,K120)&lt;5),"",'评分规则'!$D$5*F120/'评分规则'!$C$5+'评分规则'!$D$6*I120/'评分规则'!$C$6+'评分规则'!$D$7*H120/'评分规则'!$C$7+'评分规则'!$D$8*J120/'评分规则'!$C$8+'评分规则'!$D$9*K120/'评分规则'!$C$9)</x:f>
      </x:c>
      <x:c r="M120" s="9"/>
      <x:c r="N120" s="9"/>
      <x:c r="O120" s="9"/>
      <x:c r="P120" s="9"/>
      <x:c r="Q120" s="9"/>
      <x:c r="R120" s="9"/>
      <x:c r="S120" s="1" t="str">
        <x:v>神代類</x:v>
      </x:c>
      <x:c r="T120" s="1" t="str">
        <x:v>KAITO</x:v>
      </x:c>
    </x:row>
    <x:row r="121" ht="26" customHeight="1">
      <x:c r="A121" s="1" t="str">
        <x:v>宵崎奏/KAITO</x:v>
      </x:c>
      <x:c r="B121" s="1" t="str">
        <x:v>25时，Nightcord见。</x:v>
      </x:c>
      <x:c r="C121" s="1" t="str">
        <x:v>宵崎奏</x:v>
      </x:c>
      <x:c r="D121" s="1" t="str">
        <x:v>KAITO</x:v>
      </x:c>
      <x:c r="E121" s="9" t="str">
        <x:v>未评估</x:v>
      </x:c>
      <x:c r="F121" s="9"/>
      <x:c r="G121" s="9"/>
      <x:c r="H121" s="1" t="str">
        <x:f>IF(G121="","",CHOOSE(MIN(G121,4)+1,'评分规则'!$F$7,'评分规则'!$F$8,'评分规则'!$F$9,'评分规则'!$F$10,'评分规则'!$F$11))</x:f>
      </x:c>
      <x:c r="I121" s="9"/>
      <x:c r="J121" s="9"/>
      <x:c r="K121" s="9"/>
      <x:c r="L121" s="7" t="str">
        <x:f>IF(OR(E121="未评估",COUNT(F121,H121,I121,J121,K121)&lt;5),"",'评分规则'!$D$5*F121/'评分规则'!$C$5+'评分规则'!$D$6*I121/'评分规则'!$C$6+'评分规则'!$D$7*H121/'评分规则'!$C$7+'评分规则'!$D$8*J121/'评分规则'!$C$8+'评分规则'!$D$9*K121/'评分规则'!$C$9)</x:f>
      </x:c>
      <x:c r="M121" s="9"/>
      <x:c r="N121" s="9"/>
      <x:c r="O121" s="9"/>
      <x:c r="P121" s="9"/>
      <x:c r="Q121" s="9"/>
      <x:c r="R121" s="9"/>
      <x:c r="S121" s="1" t="str">
        <x:v>宵崎奏</x:v>
      </x:c>
      <x:c r="T121" s="1" t="str">
        <x:v>KAITO</x:v>
      </x:c>
    </x:row>
    <x:row r="122" ht="26" customHeight="1">
      <x:c r="A122" s="1" t="str">
        <x:v>朝比奈真冬/KAITO</x:v>
      </x:c>
      <x:c r="B122" s="1" t="str">
        <x:v>25时，Nightcord见。</x:v>
      </x:c>
      <x:c r="C122" s="1" t="str">
        <x:v>朝比奈真冬</x:v>
      </x:c>
      <x:c r="D122" s="1" t="str">
        <x:v>KAITO</x:v>
      </x:c>
      <x:c r="E122" s="9" t="str">
        <x:v>未评估</x:v>
      </x:c>
      <x:c r="F122" s="9"/>
      <x:c r="G122" s="9"/>
      <x:c r="H122" s="1" t="str">
        <x:f>IF(G122="","",CHOOSE(MIN(G122,4)+1,'评分规则'!$F$7,'评分规则'!$F$8,'评分规则'!$F$9,'评分规则'!$F$10,'评分规则'!$F$11))</x:f>
      </x:c>
      <x:c r="I122" s="9"/>
      <x:c r="J122" s="9"/>
      <x:c r="K122" s="9"/>
      <x:c r="L122" s="7" t="str">
        <x:f>IF(OR(E122="未评估",COUNT(F122,H122,I122,J122,K122)&lt;5),"",'评分规则'!$D$5*F122/'评分规则'!$C$5+'评分规则'!$D$6*I122/'评分规则'!$C$6+'评分规则'!$D$7*H122/'评分规则'!$C$7+'评分规则'!$D$8*J122/'评分规则'!$C$8+'评分规则'!$D$9*K122/'评分规则'!$C$9)</x:f>
      </x:c>
      <x:c r="M122" s="9"/>
      <x:c r="N122" s="9"/>
      <x:c r="O122" s="9"/>
      <x:c r="P122" s="9"/>
      <x:c r="Q122" s="9"/>
      <x:c r="R122" s="9"/>
      <x:c r="S122" s="1" t="str">
        <x:v>朝比奈まふゆ</x:v>
      </x:c>
      <x:c r="T122" s="1" t="str">
        <x:v>KAITO</x:v>
      </x:c>
    </x:row>
    <x:row r="123" ht="26" customHeight="1">
      <x:c r="A123" s="1" t="str">
        <x:v>东云绘名/KAITO</x:v>
      </x:c>
      <x:c r="B123" s="1" t="str">
        <x:v>25时，Nightcord见。</x:v>
      </x:c>
      <x:c r="C123" s="1" t="str">
        <x:v>东云绘名</x:v>
      </x:c>
      <x:c r="D123" s="1" t="str">
        <x:v>KAITO</x:v>
      </x:c>
      <x:c r="E123" s="9" t="str">
        <x:v>未评估</x:v>
      </x:c>
      <x:c r="F123" s="9"/>
      <x:c r="G123" s="9"/>
      <x:c r="H123" s="1" t="str">
        <x:f>IF(G123="","",CHOOSE(MIN(G123,4)+1,'评分规则'!$F$7,'评分规则'!$F$8,'评分规则'!$F$9,'评分规则'!$F$10,'评分规则'!$F$11))</x:f>
      </x:c>
      <x:c r="I123" s="9"/>
      <x:c r="J123" s="9"/>
      <x:c r="K123" s="9"/>
      <x:c r="L123" s="7" t="str">
        <x:f>IF(OR(E123="未评估",COUNT(F123,H123,I123,J123,K123)&lt;5),"",'评分规则'!$D$5*F123/'评分规则'!$C$5+'评分规则'!$D$6*I123/'评分规则'!$C$6+'评分规则'!$D$7*H123/'评分规则'!$C$7+'评分规则'!$D$8*J123/'评分规则'!$C$8+'评分规则'!$D$9*K123/'评分规则'!$C$9)</x:f>
      </x:c>
      <x:c r="M123" s="9"/>
      <x:c r="N123" s="9"/>
      <x:c r="O123" s="9"/>
      <x:c r="P123" s="9"/>
      <x:c r="Q123" s="9"/>
      <x:c r="R123" s="9"/>
      <x:c r="S123" s="1" t="str">
        <x:v>東雲絵名</x:v>
      </x:c>
      <x:c r="T123" s="1" t="str">
        <x:v>KAITO</x:v>
      </x:c>
    </x:row>
    <x:row r="124" ht="26" customHeight="1">
      <x:c r="A124" s="1" t="str">
        <x:v>晓山瑞希/KAITO</x:v>
      </x:c>
      <x:c r="B124" s="1" t="str">
        <x:v>25时，Nightcord见。</x:v>
      </x:c>
      <x:c r="C124" s="1" t="str">
        <x:v>晓山瑞希</x:v>
      </x:c>
      <x:c r="D124" s="1" t="str">
        <x:v>KAITO</x:v>
      </x:c>
      <x:c r="E124" s="9" t="str">
        <x:v>未评估</x:v>
      </x:c>
      <x:c r="F124" s="9"/>
      <x:c r="G124" s="9"/>
      <x:c r="H124" s="1" t="str">
        <x:f>IF(G124="","",CHOOSE(MIN(G124,4)+1,'评分规则'!$F$7,'评分规则'!$F$8,'评分规则'!$F$9,'评分规则'!$F$10,'评分规则'!$F$11))</x:f>
      </x:c>
      <x:c r="I124" s="9"/>
      <x:c r="J124" s="9"/>
      <x:c r="K124" s="9"/>
      <x:c r="L124" s="7" t="str">
        <x:f>IF(OR(E124="未评估",COUNT(F124,H124,I124,J124,K124)&lt;5),"",'评分规则'!$D$5*F124/'评分规则'!$C$5+'评分规则'!$D$6*I124/'评分规则'!$C$6+'评分规则'!$D$7*H124/'评分规则'!$C$7+'评分规则'!$D$8*J124/'评分规则'!$C$8+'评分规则'!$D$9*K124/'评分规则'!$C$9)</x:f>
      </x:c>
      <x:c r="M124" s="9"/>
      <x:c r="N124" s="9"/>
      <x:c r="O124" s="9"/>
      <x:c r="P124" s="9"/>
      <x:c r="Q124" s="9"/>
      <x:c r="R124" s="9"/>
      <x:c r="S124" s="1" t="str">
        <x:v>暁山瑞希</x:v>
      </x:c>
      <x:c r="T124" s="1" t="str">
        <x:v>KAITO</x:v>
      </x:c>
    </x:row>
  </x:sheetData>
  <x:dataValidations count="7">
    <x:dataValidation type="list" sqref="E5:E124">
      <x:formula1>"未评估,核查中,已评估"</x:formula1>
    </x:dataValidation>
    <x:dataValidation type="list" sqref="M5:M124">
      <x:formula1>"A+,A,A−,B+,B,C,F"</x:formula1>
    </x:dataValidation>
    <x:dataValidation type="whole" operator="between" sqref="F5:F124">
      <x:formula1>0</x:formula1>
      <x:formula2>4</x:formula2>
    </x:dataValidation>
    <x:dataValidation type="whole" operator="between" sqref="I5:I124">
      <x:formula1>0</x:formula1>
      <x:formula2>4</x:formula2>
    </x:dataValidation>
    <x:dataValidation type="whole" operator="between" sqref="J5:J124">
      <x:formula1>0</x:formula1>
      <x:formula2>3</x:formula2>
    </x:dataValidation>
    <x:dataValidation type="whole" operator="between" sqref="K5:K124">
      <x:formula1>0</x:formula1>
      <x:formula2>4</x:formula2>
    </x:dataValidation>
    <x:dataValidation type="whole" operator="greaterThanOrEqual" sqref="G5:G12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c2e6f17f714c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6" customHeight="1">
      <x:c r="A1" s="2" t="str">
        <x:v>V3 评分规则</x:v>
      </x:c>
      <x:c r="B1" s="1"/>
      <x:c r="C1" s="1"/>
      <x:c r="D1" s="1"/>
      <x:c r="E1" s="1"/>
      <x:c r="F1" s="1"/>
    </x:row>
    <x:row r="2" ht="26" customHeight="1">
      <x:c r="A2" s="1" t="str">
        <x:v>研究对象：成长叙事中的结构性重要程度，不量化感情、好感度或配对。</x:v>
      </x:c>
      <x:c r="B2" s="1"/>
      <x:c r="C2" s="1"/>
      <x:c r="D2" s="1"/>
      <x:c r="E2" s="1"/>
      <x:c r="F2" s="1"/>
    </x:row>
    <x:row r="3" ht="26" customHeight="1">
      <x:c r="A3" s="1"/>
      <x:c r="B3" s="1"/>
      <x:c r="C3" s="1"/>
      <x:c r="D3" s="1"/>
      <x:c r="E3" s="1"/>
      <x:c r="F3" s="1"/>
    </x:row>
    <x:row r="4" ht="38" customHeight="1">
      <x:c r="A4" s="5" t="str">
        <x:v>维度</x:v>
      </x:c>
      <x:c r="B4" s="5" t="str">
        <x:v>怎样取值</x:v>
      </x:c>
      <x:c r="C4" s="5" t="str">
        <x:v>上限</x:v>
      </x:c>
      <x:c r="D4" s="5" t="str">
        <x:v>指数权重</x:v>
      </x:c>
      <x:c r="E4" s="1"/>
      <x:c r="F4" s="1"/>
    </x:row>
    <x:row r="5" ht="26" customHeight="1">
      <x:c r="A5" s="1" t="str">
        <x:v>K</x:v>
      </x:c>
      <x:c r="B5" s="10" t="str">
        <x:v>最高因果层级，取有证据支持的最高档</x:v>
      </x:c>
      <x:c r="C5" s="1" t="n">
        <x:v>4</x:v>
      </x:c>
      <x:c r="D5" s="1" t="n">
        <x:v>50</x:v>
      </x:c>
      <x:c r="E5" s="1"/>
      <x:c r="F5" s="1"/>
    </x:row>
    <x:row r="6" ht="38" customHeight="1">
      <x:c r="A6" s="1" t="str">
        <x:v>S</x:v>
      </x:c>
      <x:c r="B6" s="10" t="str">
        <x:v>角色自我归因或显式关系锚定</x:v>
      </x:c>
      <x:c r="C6" s="1" t="n">
        <x:v>4</x:v>
      </x:c>
      <x:c r="D6" s="1" t="n">
        <x:v>20</x:v>
      </x:c>
      <x:c r="E6" s="5" t="str">
        <x:v>独立强剧情线数</x:v>
      </x:c>
      <x:c r="F6" s="5" t="str">
        <x:v>C</x:v>
      </x:c>
    </x:row>
    <x:row r="7" ht="26" customHeight="1">
      <x:c r="A7" s="1" t="str">
        <x:v>C</x:v>
      </x:c>
      <x:c r="B7" s="10" t="str">
        <x:v>K2+ 独立强剧情线的递减收益</x:v>
      </x:c>
      <x:c r="C7" s="1" t="n">
        <x:v>10</x:v>
      </x:c>
      <x:c r="D7" s="1" t="n">
        <x:v>15</x:v>
      </x:c>
      <x:c r="E7" s="1" t="n">
        <x:v>0</x:v>
      </x:c>
      <x:c r="F7" s="1" t="n">
        <x:v>0</x:v>
      </x:c>
    </x:row>
    <x:row r="8" ht="26" customHeight="1">
      <x:c r="A8" s="1" t="str">
        <x:v>T</x:v>
      </x:c>
      <x:c r="B8" s="10" t="str">
        <x:v>有效影响跨越的时期</x:v>
      </x:c>
      <x:c r="C8" s="1" t="n">
        <x:v>3</x:v>
      </x:c>
      <x:c r="D8" s="1" t="n">
        <x:v>10</x:v>
      </x:c>
      <x:c r="E8" s="1" t="n">
        <x:v>1</x:v>
      </x:c>
      <x:c r="F8" s="1" t="n">
        <x:v>4</x:v>
      </x:c>
    </x:row>
    <x:row r="9" ht="26" customHeight="1">
      <x:c r="A9" s="1" t="str">
        <x:v>B</x:v>
      </x:c>
      <x:c r="B9" s="10" t="str">
        <x:v>有证据支持的不同功能类别数，4 类封顶</x:v>
      </x:c>
      <x:c r="C9" s="1" t="n">
        <x:v>4</x:v>
      </x:c>
      <x:c r="D9" s="1" t="n">
        <x:v>5</x:v>
      </x:c>
      <x:c r="E9" s="1" t="n">
        <x:v>2</x:v>
      </x:c>
      <x:c r="F9" s="1" t="n">
        <x:v>7</x:v>
      </x:c>
    </x:row>
    <x:row r="10" ht="26" customHeight="1">
      <x:c r="A10" s="1"/>
      <x:c r="B10" s="10"/>
      <x:c r="C10" s="1"/>
      <x:c r="D10" s="1"/>
      <x:c r="E10" s="1" t="n">
        <x:v>3</x:v>
      </x:c>
      <x:c r="F10" s="1" t="n">
        <x:v>9</x:v>
      </x:c>
    </x:row>
    <x:row r="11" ht="26" customHeight="1">
      <x:c r="A11" s="1"/>
      <x:c r="B11" s="10"/>
      <x:c r="C11" s="1"/>
      <x:c r="D11" s="1"/>
      <x:c r="E11" s="1" t="str">
        <x:v>4及以上</x:v>
      </x:c>
      <x:c r="F11" s="1" t="n">
        <x:v>10</x:v>
      </x:c>
    </x:row>
    <x:row r="12" ht="48" customHeight="1">
      <x:c r="A12" s="1" t="str">
        <x:v>K0</x:v>
      </x:c>
      <x:c r="B12" s="10" t="str">
        <x:v>已检查范围内没有找到有效关系证据；未检查不能填 K0。</x:v>
      </x:c>
      <x:c r="C12" s="1"/>
      <x:c r="D12" s="1"/>
      <x:c r="E12" s="1"/>
      <x:c r="F12" s="1"/>
    </x:row>
    <x:row r="13" ht="48" customHeight="1">
      <x:c r="A13" s="1" t="str">
        <x:v>K1</x:v>
      </x:c>
      <x:c r="B13" s="10" t="str">
        <x:v>提供具体帮助。</x:v>
      </x:c>
      <x:c r="C13" s="1"/>
      <x:c r="D13" s="1"/>
      <x:c r="E13" s="1"/>
      <x:c r="F13" s="1"/>
    </x:row>
    <x:row r="14" ht="48" customHeight="1">
      <x:c r="A14" s="1" t="str">
        <x:v>K2</x:v>
      </x:c>
      <x:c r="B14" s="10" t="str">
        <x:v>改变 OC 的行动或决定。</x:v>
      </x:c>
      <x:c r="C14" s="1"/>
      <x:c r="D14" s="1"/>
      <x:c r="E14" s="1"/>
      <x:c r="F14" s="1"/>
    </x:row>
    <x:row r="15" ht="48" customHeight="1">
      <x:c r="A15" s="1" t="str">
        <x:v>K3</x:v>
      </x:c>
      <x:c r="B15" s="10" t="str">
        <x:v>影响核心困惑、自我认识、重要关系或创作方向。</x:v>
      </x:c>
      <x:c r="C15" s="1"/>
      <x:c r="D15" s="1"/>
      <x:c r="E15" s="1"/>
      <x:c r="F15" s="1"/>
    </x:row>
    <x:row r="16" ht="48" customHeight="1">
      <x:c r="A16" s="1" t="str">
        <x:v>K4</x:v>
      </x:c>
      <x:c r="B16" s="10" t="str">
        <x:v>进入人生起点、核心身份或长期道路。</x:v>
      </x:c>
      <x:c r="C16" s="1"/>
      <x:c r="D16" s="1"/>
      <x:c r="E16" s="1"/>
      <x:c r="F16" s="1"/>
    </x:row>
    <x:row r="17" ht="48" customHeight="1">
      <x:c r="A17" s="1" t="str">
        <x:v>C</x:v>
      </x:c>
      <x:c r="B17" s="10" t="str">
        <x:v>同一成长问题、重复回忆、同场次数不能重复计为独立线。0/1/2/3/≥4 条对应 0/4/7/9/10。</x:v>
      </x:c>
      <x:c r="C17" s="1"/>
      <x:c r="D17" s="1"/>
      <x:c r="E17" s="1"/>
      <x:c r="F17" s="1"/>
    </x:row>
    <x:row r="18" ht="48" customHeight="1">
      <x:c r="A18" s="1" t="str">
        <x:v>S</x:v>
      </x:c>
      <x:c r="B18" s="10" t="str">
        <x:v>0 无明确表达；1 感谢、信任或依赖；2 明确归因某次改变；3 归因重大成长或人生结果；4 显式特殊关系定位。</x:v>
      </x:c>
      <x:c r="C18" s="1"/>
      <x:c r="D18" s="1"/>
      <x:c r="E18" s="1"/>
      <x:c r="F18" s="1"/>
    </x:row>
    <x:row r="19" ht="48" customHeight="1">
      <x:c r="A19" s="1" t="str">
        <x:v>T</x:v>
      </x:c>
      <x:c r="B19" s="10" t="str">
        <x:v>0 单一时期；1 两个时期；2 三个时期；3 长期跨年。需记录时期划分并统一比较口径。</x:v>
      </x:c>
      <x:c r="C19" s="1"/>
      <x:c r="D19" s="1"/>
      <x:c r="E19" s="1"/>
      <x:c r="F19" s="1"/>
    </x:row>
    <x:row r="20" ht="48" customHeight="1">
      <x:c r="A20" s="1" t="str">
        <x:v>B</x:v>
      </x:c>
      <x:c r="B20" s="10" t="str">
        <x:v>0/1/2/3/≥4 类对应 0/1/2/3/4；如创作、职业选择、自我认识、伙伴关系，须有具体证据。</x:v>
      </x:c>
      <x:c r="C20" s="1"/>
      <x:c r="D20" s="1"/>
      <x:c r="E20" s="1"/>
      <x:c r="F20" s="1"/>
    </x:row>
    <x:row r="21" ht="48" customHeight="1">
      <x:c r="A21" s="1" t="str">
        <x:v>指数</x:v>
      </x:c>
      <x:c r="B21" s="10" t="str">
        <x:v>I = 50×K/4 + 20×S/4 + 15×C/10 + 10×T/3 + 5×B/4。仅展示与敏感性分析使用。</x:v>
      </x:c>
      <x:c r="C21" s="1"/>
      <x:c r="D21" s="1"/>
      <x:c r="E21" s="1"/>
      <x:c r="F21" s="1"/>
    </x:row>
    <x:row r="22" ht="48" customHeight="1">
      <x:c r="A22" s="1" t="str">
        <x:v>排序</x:v>
      </x:c>
      <x:c r="B22" s="10" t="str">
        <x:v>先 K；相同再 S → C → T → B，均按高到低；五项相同并列。不能按 I 单独排名。</x:v>
      </x:c>
      <x:c r="C22" s="1"/>
      <x:c r="D22" s="1"/>
      <x:c r="E22" s="1"/>
      <x:c r="F22" s="1"/>
    </x:row>
    <x:row r="23" ht="48" customHeight="1">
      <x:c r="A23" s="1" t="str">
        <x:v>置信度</x:v>
      </x:c>
      <x:c r="B23" s="10" t="str">
        <x:v>保留 A+、A、A−、B+、B、C、F；不计入指数、不作倍率、不参与五项排序。未评估时留空。</x:v>
      </x:c>
      <x:c r="C23" s="1"/>
      <x:c r="D23" s="1"/>
      <x:c r="E23" s="1"/>
      <x:c r="F23" s="1"/>
    </x:row>
    <x:row r="24" ht="48" customHeight="1">
      <x:c r="A24" s="1" t="str">
        <x:v>初始化</x:v>
      </x:c>
      <x:c r="B24" s="10" t="str">
        <x:v>所有数值、置信度和证据留空，状态为未评估。下载剧情、候选数量及旧版分数均不自动换成 V3 分数。</x:v>
      </x:c>
      <x:c r="C24" s="1"/>
      <x:c r="D24" s="1"/>
      <x:c r="E24" s="1"/>
      <x:c r="F24" s="1"/>
    </x:row>
    <x:row r="25" ht="48" customHeight="1">
      <x:c r="A25" s="1" t="str">
        <x:v>旧算法</x:v>
      </x:c>
      <x:c r="B25" s="10" t="str">
        <x:v>不再使用事件乘法累加、独占性奖励、2.2 次幂或把第一名强行拉到 100。</x:v>
      </x:c>
      <x:c r="C25" s="1"/>
      <x:c r="D25" s="1"/>
      <x:c r="E25" s="1"/>
      <x:c r="F25" s="1"/>
    </x:row>
    <x:row r="26" ht="65" customHeight="1">
      <x:c r="A26" s="1" t="str">
        <x:v>规则来源</x:v>
      </x:c>
      <x:c r="B26" s="10" t="str">
        <x:v>https://github.com/HachiMiku39/PJSK-Virtual-Singer-OC-Relationship-Research/blob/4fb2b3aa45f266b7965d3fe924dba60539694dbe/README.md</x:v>
      </x:c>
      <x:c r="C26" s="1"/>
      <x:c r="D26" s="1"/>
      <x:c r="E26" s="1"/>
      <x:c r="F26" s="1"/>
    </x:row>
    <x:row r="27" ht="65" customHeight="1">
      <x:c r="A27" s="1" t="str">
        <x:v>资料来源</x:v>
      </x:c>
      <x:c r="B27" s="10" t="str">
        <x:v>https://github.com/ci-ke/ProjectSekai-story/tree/fdfbd5de4f28f21a326d031439feb9b0491111a5</x:v>
      </x:c>
      <x:c r="C27" s="1"/>
      <x:c r="D27" s="1"/>
      <x:c r="E27" s="1"/>
      <x:c r="F27" s="1"/>
    </x:row>
    <x:row r="28" ht="26" customHeight="1">
      <x:c r="A28" s="1"/>
      <x:c r="B28" s="1"/>
      <x:c r="C28" s="1"/>
      <x:c r="D28" s="1"/>
      <x:c r="E28" s="1"/>
      <x:c r="F28" s="1"/>
    </x:row>
    <x:row r="29" ht="26" customHeight="1">
      <x:c r="A29" s="1"/>
      <x:c r="B29" s="1"/>
      <x:c r="C29" s="1"/>
      <x:c r="D29" s="1"/>
      <x:c r="E29" s="1"/>
      <x:c r="F29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0" hidden="0" customWidth="1"/>
  </x:cols>
  <x:sheetData>
    <x:row r="1" ht="27" customHeight="1">
      <x:c r="A1" s="2" t="str">
        <x:v>星乃一歌：成长与情感评分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7" customHeight="1">
      <x:c r="A2" s="1" t="str">
        <x:v>日语正文首轮试评。情感方向：一歌 → VS。两个指数分别保留，不合成总分。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7" customHeight="1">
      <x:c r="A3" s="1" t="str">
        <x:v>情感每项 0～4，等权换算；相同指数并列。置信度不进入计算。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7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0" customHeight="1">
      <x:c r="A5" s="14" t="str">
        <x:v>VS</x:v>
      </x:c>
      <x:c r="B5" s="14" t="str">
        <x:v>情感表达</x:v>
      </x:c>
      <x:c r="C5" s="14" t="str">
        <x:v>信任与袒露</x:v>
      </x:c>
      <x:c r="D5" s="14" t="str">
        <x:v>主动投入</x:v>
      </x:c>
      <x:c r="E5" s="14" t="str">
        <x:v>关系定位</x:v>
      </x:c>
      <x:c r="F5" s="14" t="str">
        <x:v>情感指数</x:v>
      </x:c>
      <x:c r="G5" s="14" t="str">
        <x:v>情感名次</x:v>
      </x:c>
      <x:c r="H5" s="14" t="str">
        <x:v>原成长指数</x:v>
      </x:c>
      <x:c r="I5" s="14" t="str">
        <x:v>情感置信度</x:v>
      </x:c>
      <x:c r="J5" s="14" t="str">
        <x:v>证据编号</x:v>
      </x:c>
    </x:row>
    <x:row r="6" ht="48" customHeight="1">
      <x:c r="A6" s="1" t="str">
        <x:v>初音未来</x:v>
      </x:c>
      <x:c r="B6" s="15" t="n">
        <x:v>4</x:v>
      </x:c>
      <x:c r="C6" s="15" t="n">
        <x:v>4</x:v>
      </x:c>
      <x:c r="D6" s="15" t="n">
        <x:v>4</x:v>
      </x:c>
      <x:c r="E6" s="15" t="n">
        <x:v>4</x:v>
      </x:c>
      <x:c r="F6" s="7" t="n">
        <x:f>SUM(B6:E6)/($C$15*$C$16)*$C$17</x:f>
        <x:v>100</x:v>
      </x:c>
      <x:c r="G6" s="1" t="n">
        <x:f>COUNTIF($F$6:$F$11,"&gt;"&amp;F6)+1</x:f>
        <x:v>1</x:v>
      </x:c>
      <x:c r="H6" s="7" t="n">
        <x:f>'6×20矩阵'!B6</x:f>
        <x:v>100</x:v>
      </x:c>
      <x:c r="I6" s="1" t="str">
        <x:v>A</x:v>
      </x:c>
      <x:c r="J6" s="10" t="str">
        <x:v>A01、A02、A03、A04、A05、A06、A07</x:v>
      </x:c>
    </x:row>
    <x:row r="7" ht="48" customHeight="1">
      <x:c r="A7" s="1" t="str">
        <x:v>巡音流歌</x:v>
      </x:c>
      <x:c r="B7" s="15" t="n">
        <x:v>3</x:v>
      </x:c>
      <x:c r="C7" s="15" t="n">
        <x:v>3</x:v>
      </x:c>
      <x:c r="D7" s="15" t="n">
        <x:v>3</x:v>
      </x:c>
      <x:c r="E7" s="15" t="n">
        <x:v>2</x:v>
      </x:c>
      <x:c r="F7" s="7" t="n">
        <x:f>SUM(B7:E7)/($C$15*$C$16)*$C$17</x:f>
        <x:v>68.75</x:v>
      </x:c>
      <x:c r="G7" s="1" t="n">
        <x:f>COUNTIF($F$6:$F$11,"&gt;"&amp;F7)+1</x:f>
        <x:v>2</x:v>
      </x:c>
      <x:c r="H7" s="7" t="n">
        <x:f>'6×20矩阵'!B9</x:f>
        <x:v>77.66666666666667</x:v>
      </x:c>
      <x:c r="I7" s="1" t="str">
        <x:v>B</x:v>
      </x:c>
      <x:c r="J7" s="10" t="str">
        <x:v>A08、A09、A10、A11、A12、A13</x:v>
      </x:c>
    </x:row>
    <x:row r="8" ht="48" customHeight="1">
      <x:c r="A8" s="1" t="str">
        <x:v>KAITO</x:v>
      </x:c>
      <x:c r="B8" s="15" t="n">
        <x:v>3</x:v>
      </x:c>
      <x:c r="C8" s="15" t="n">
        <x:v>3</x:v>
      </x:c>
      <x:c r="D8" s="15" t="n">
        <x:v>3</x:v>
      </x:c>
      <x:c r="E8" s="15" t="n">
        <x:v>2</x:v>
      </x:c>
      <x:c r="F8" s="7" t="n">
        <x:f>SUM(B8:E8)/($C$15*$C$16)*$C$17</x:f>
        <x:v>68.75</x:v>
      </x:c>
      <x:c r="G8" s="1" t="n">
        <x:f>COUNTIF($F$6:$F$11,"&gt;"&amp;F8)+1</x:f>
        <x:v>2</x:v>
      </x:c>
      <x:c r="H8" s="7" t="n">
        <x:f>'6×20矩阵'!B11</x:f>
        <x:v>77.66666666666667</x:v>
      </x:c>
      <x:c r="I8" s="1" t="str">
        <x:v>B</x:v>
      </x:c>
      <x:c r="J8" s="10" t="str">
        <x:v>A14、A15、A16、A17、A18</x:v>
      </x:c>
    </x:row>
    <x:row r="9" ht="48" customHeight="1">
      <x:c r="A9" s="1" t="str">
        <x:v>镜音铃</x:v>
      </x:c>
      <x:c r="B9" s="15" t="n">
        <x:v>3</x:v>
      </x:c>
      <x:c r="C9" s="15" t="n">
        <x:v>3</x:v>
      </x:c>
      <x:c r="D9" s="15" t="n">
        <x:v>3</x:v>
      </x:c>
      <x:c r="E9" s="15" t="n">
        <x:v>2</x:v>
      </x:c>
      <x:c r="F9" s="7" t="n">
        <x:f>SUM(B9:E9)/($C$15*$C$16)*$C$17</x:f>
        <x:v>68.75</x:v>
      </x:c>
      <x:c r="G9" s="1" t="n">
        <x:f>COUNTIF($F$6:$F$11,"&gt;"&amp;F9)+1</x:f>
        <x:v>2</x:v>
      </x:c>
      <x:c r="H9" s="7" t="n">
        <x:f>'6×20矩阵'!B7</x:f>
        <x:v>68.41666666666667</x:v>
      </x:c>
      <x:c r="I9" s="1" t="str">
        <x:v>B</x:v>
      </x:c>
      <x:c r="J9" s="10" t="str">
        <x:v>A19、A20、A21、A22、A23</x:v>
      </x:c>
    </x:row>
    <x:row r="10" ht="48" customHeight="1">
      <x:c r="A10" s="1" t="str">
        <x:v>MEIKO</x:v>
      </x:c>
      <x:c r="B10" s="15" t="n">
        <x:v>2</x:v>
      </x:c>
      <x:c r="C10" s="15" t="n">
        <x:v>3</x:v>
      </x:c>
      <x:c r="D10" s="15" t="n">
        <x:v>2</x:v>
      </x:c>
      <x:c r="E10" s="15" t="n">
        <x:v>2</x:v>
      </x:c>
      <x:c r="F10" s="7" t="n">
        <x:f>SUM(B10:E10)/($C$15*$C$16)*$C$17</x:f>
        <x:v>56.25</x:v>
      </x:c>
      <x:c r="G10" s="1" t="n">
        <x:f>COUNTIF($F$6:$F$11,"&gt;"&amp;F10)+1</x:f>
        <x:v>5</x:v>
      </x:c>
      <x:c r="H10" s="7" t="n">
        <x:f>'6×20矩阵'!B10</x:f>
        <x:v>74.66666666666667</x:v>
      </x:c>
      <x:c r="I10" s="1" t="str">
        <x:v>B</x:v>
      </x:c>
      <x:c r="J10" s="10" t="str">
        <x:v>A26、A27、A28、A29</x:v>
      </x:c>
    </x:row>
    <x:row r="11" ht="48" customHeight="1">
      <x:c r="A11" s="1" t="str">
        <x:v>镜音连</x:v>
      </x:c>
      <x:c r="B11" s="15" t="n">
        <x:v>2</x:v>
      </x:c>
      <x:c r="C11" s="15" t="n">
        <x:v>3</x:v>
      </x:c>
      <x:c r="D11" s="15" t="n">
        <x:v>2</x:v>
      </x:c>
      <x:c r="E11" s="15" t="n">
        <x:v>2</x:v>
      </x:c>
      <x:c r="F11" s="7" t="n">
        <x:f>SUM(B11:E11)/($C$15*$C$16)*$C$17</x:f>
        <x:v>56.25</x:v>
      </x:c>
      <x:c r="G11" s="1" t="n">
        <x:f>COUNTIF($F$6:$F$11,"&gt;"&amp;F11)+1</x:f>
        <x:v>5</x:v>
      </x:c>
      <x:c r="H11" s="7" t="n">
        <x:f>'6×20矩阵'!B8</x:f>
        <x:v>68.41666666666667</x:v>
      </x:c>
      <x:c r="I11" s="1" t="str">
        <x:v>B</x:v>
      </x:c>
      <x:c r="J11" s="10" t="str">
        <x:v>A24、A25、A22、A23、A29</x:v>
      </x:c>
    </x:row>
    <x:row r="12" ht="27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7" customHeight="1">
      <x:c r="A13" s="1" t="str">
        <x:v>每项改变 1 档，指数变化 6.25。中间五位的次序对 2／3 档边界较敏感。</x:v>
      </x:c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7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7" customHeight="1">
      <x:c r="A15" s="1" t="str">
        <x:v>维度数</x:v>
      </x:c>
      <x:c r="B15" s="1"/>
      <x:c r="C15" s="1" t="n">
        <x:v>4</x:v>
      </x:c>
      <x:c r="D15" s="1"/>
      <x:c r="E15" s="1"/>
      <x:c r="F15" s="1"/>
      <x:c r="G15" s="1"/>
      <x:c r="H15" s="1"/>
      <x:c r="I15" s="1"/>
      <x:c r="J15" s="1"/>
    </x:row>
    <x:row r="16" ht="27" customHeight="1">
      <x:c r="A16" s="1" t="str">
        <x:v>每项上限</x:v>
      </x:c>
      <x:c r="B16" s="1"/>
      <x:c r="C16" s="1" t="n">
        <x:v>4</x:v>
      </x:c>
      <x:c r="D16" s="1"/>
      <x:c r="E16" s="1"/>
      <x:c r="F16" s="1"/>
      <x:c r="G16" s="1"/>
      <x:c r="H16" s="1"/>
      <x:c r="I16" s="1"/>
      <x:c r="J16" s="1"/>
    </x:row>
    <x:row r="17" ht="27" customHeight="1">
      <x:c r="A17" s="1" t="str">
        <x:v>展示满分</x:v>
      </x:c>
      <x:c r="B17" s="1"/>
      <x:c r="C17" s="1" t="n">
        <x:v>100</x:v>
      </x:c>
      <x:c r="D17" s="1"/>
      <x:c r="E17" s="1"/>
      <x:c r="F17" s="1"/>
      <x:c r="G17" s="1"/>
      <x:c r="H17" s="1"/>
      <x:c r="I17" s="1"/>
      <x:c r="J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7" customHeight="1">
      <x:c r="A19" s="1" t="str">
        <x:v>0：未找到有效证据。1：一般友好。2：具体个人证据。未评估仍留空。</x:v>
      </x:c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7" customHeight="1">
      <x:c r="A20" s="1" t="str">
        <x:v>3：深层感受或跨情境持续表现。4：既深层又持续，形成稳定关系特征。</x:v>
      </x:c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7" customHeight="1">
      <x:c r="A21" s="1" t="str">
        <x:v>成长比较仍按 K → S → C → T → B。情感不改变原成长规则及原置信度。</x:v>
      </x:c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7" customHeight="1">
      <x:c r="A22" s="1" t="str">
        <x:v>同场或受到关心不能代替一歌的感情表达。生日、群体场景需核对说话人与对象。</x:v>
      </x:c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7" customHeight="1">
      <x:c r="A23" s="1" t="str">
        <x:v>完整判定与敏感性讨论见《星乃一歌_成长与情感重评分.md》，原文定位见“情感证据”。</x:v>
      </x:c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7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</x:sheetData>
  <x:dataValidations count="1">
    <x:dataValidation type="whole" operator="between" sqref="B6:E11">
      <x:formula1>0</x:formula1>
      <x:formula2>4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8" hidden="0" customWidth="1"/>
    <x:col min="3" max="3" width="65" hidden="0" customWidth="1"/>
    <x:col min="4" max="4" width="35" hidden="0" customWidth="1"/>
    <x:col min="5" max="5" width="85" hidden="0" customWidth="1"/>
  </x:cols>
  <x:sheetData>
    <x:row r="1" ht="27" customHeight="1">
      <x:c r="A1" s="2" t="str">
        <x:v>一歌情感评分：日文证据</x:v>
      </x:c>
      <x:c r="B1" s="1"/>
      <x:c r="C1" s="1"/>
      <x:c r="D1" s="1"/>
      <x:c r="E1" s="1"/>
    </x:row>
    <x:row r="2" ht="27" customHeight="1">
      <x:c r="A2" s="1" t="str">
        <x:v>第三方游戏文本整理的固定快照；短句用于定位，判断须结合完整上下文。</x:v>
      </x:c>
      <x:c r="B2" s="1"/>
      <x:c r="C2" s="1"/>
      <x:c r="D2" s="1"/>
      <x:c r="E2" s="1"/>
    </x:row>
    <x:row r="3" ht="27" customHeight="1">
      <x:c r="A3" s="1"/>
      <x:c r="B3" s="1"/>
      <x:c r="C3" s="1"/>
      <x:c r="D3" s="1"/>
      <x:c r="E3" s="1"/>
    </x:row>
    <x:row r="4" ht="40" customHeight="1">
      <x:c r="A4" s="14" t="str">
        <x:v>编号</x:v>
      </x:c>
      <x:c r="B4" s="14" t="str">
        <x:v>剧情章节</x:v>
      </x:c>
      <x:c r="C4" s="14" t="str">
        <x:v>观察与判定边界</x:v>
      </x:c>
      <x:c r="D4" s="14" t="str">
        <x:v>日文定位短句</x:v>
      </x:c>
      <x:c r="E4" s="14" t="str">
        <x:v>原文固定链接</x:v>
      </x:c>
    </x:row>
    <x:row r="5" ht="120" customHeight="1">
      <x:c r="A5" s="16" t="str">
        <x:v>A01</x:v>
      </x:c>
      <x:c r="B5" s="16" t="str">
        <x:v>18-7 ふたりで見る桜</x:v>
      </x:c>
      <x:c r="C5" s="16" t="str">
        <x:v>主动邀请 Miku 看樱花、唱歌表达心意；景色因重要的人在场而特殊。</x:v>
      </x:c>
      <x:c r="D5" s="16" t="str">
        <x:v>ミクは私にとって大切な存在</x:v>
      </x:c>
      <x:c r="E5" s="16" t="str">
        <x:v>https://github.com/ci-ke/ProjectSekai-story/blob/fdfbd5de4f28f21a326d031439feb9b0491111a5/story_jp/event/018%20%E5%90%9B%E3%81%A8%E6%AD%8C%E3%81%86%E3%80%81%E6%A1%9C%E8%88%9E%E3%81%86%E4%B8%96%E7%95%8C%E3%81%A7%20%28Mix_%E6%98%9F%E4%B9%83%E4%B8%80%E6%AD%8C%29/018-07%20%E3%81%B5%E3%81%9F%E3%82%8A%E3%81%A7%E8%A6%8B%E3%82%8B%E6%A1%9C.txt#L15</x:v>
      </x:c>
    </x:row>
    <x:row r="6" ht="120" customHeight="1">
      <x:c r="A6" s="16" t="str">
        <x:v>A02</x:v>
      </x:c>
      <x:c r="B6" s="16" t="str">
        <x:v>&lt;サイドストーリー（前編）&gt;</x:v>
      </x:c>
      <x:c r="C6" s="16" t="str">
        <x:v>重聚后仍害怕关系再次破裂，夜里主动找 Miku 袒露难以向朋友说明的不安。</x:v>
      </x:c>
      <x:c r="D6" s="16" t="str">
        <x:v>もしかして、ミクなら</x:v>
      </x:c>
      <x:c r="E6" s="16" t="str">
        <x:v>https://github.com/ci-ke/ProjectSekai-story/blob/fdfbd5de4f28f21a326d031439feb9b0491111a5/story_jp/card/01%20Ln_%E6%98%9F%E4%B9%83%E4%B8%80%E6%AD%8C/0004_%E6%98%9F%E4%B9%83%E4%B8%80%E6%AD%8C_R4%20%E5%A4%9C%E6%98%8E%E3%81%91%E5%89%8D%E3%81%AE%E8%AA%9E%E3%82%89%E3%81%84.txt#L39</x:v>
      </x:c>
    </x:row>
    <x:row r="7" ht="120" customHeight="1">
      <x:c r="A7" s="16" t="str">
        <x:v>A03</x:v>
      </x:c>
      <x:c r="B7" s="16" t="str">
        <x:v>101-5 憧れだけじゃなくて</x:v>
      </x:c>
      <x:c r="C7" s="16" t="str">
        <x:v>从自己的感谢转向考虑怎样让 Miku 感到快乐，筹划特别的回报。</x:v>
      </x:c>
      <x:c r="D7" s="16" t="str">
        <x:v>もっとミクに喜んでもらえるようなこと</x:v>
      </x:c>
      <x:c r="E7" s="16" t="str">
        <x:v>https://github.com/ci-ke/ProjectSekai-story/blob/fdfbd5de4f28f21a326d031439feb9b0491111a5/story_jp/event/101%20%E3%81%A4%E3%81%AA%E3%81%90%E3%80%81%E6%98%9F%E3%81%AE%E6%AD%8C%20%28Ln_%E6%98%9F%E4%B9%83%E4%B8%80%E6%AD%8C%29/101-05%20%E6%86%A7%E3%82%8C%E3%81%A0%E3%81%91%E3%81%98%E3%82%83%E3%81%AA%E3%81%8F%E3%81%A6.txt#L86</x:v>
      </x:c>
    </x:row>
    <x:row r="8" ht="120" customHeight="1">
      <x:c r="A8" s="16" t="str">
        <x:v>A04</x:v>
      </x:c>
      <x:c r="B8" s="16" t="str">
        <x:v>&lt;サイドストーリー（後編）&gt;</x:v>
      </x:c>
      <x:c r="C8" s="16" t="str">
        <x:v>邀请 Miku 同台，让她实际感受到与大家的连接；目的包含照顾 Miku 的感受。</x:v>
      </x:c>
      <x:c r="D8" s="16" t="str">
        <x:v>ミクに感じてほしいんだ</x:v>
      </x:c>
      <x:c r="E8" s="16" t="str">
        <x:v>https://github.com/ci-ke/ProjectSekai-story/blob/fdfbd5de4f28f21a326d031439feb9b0491111a5/story_jp/card/26%20VS_KAITO/0685_KAITO%20%28Ln%29_R4%20%E8%A6%8B%E5%AE%88%E3%81%A3%E3%81%A6%E3%81%8D%E3%81%9F%E8%BB%8C%E8%B7%A1%20%28event_101%29.txt#L140</x:v>
      </x:c>
    </x:row>
    <x:row r="9" ht="120" customHeight="1">
      <x:c r="A9" s="16" t="str">
        <x:v>A05</x:v>
      </x:c>
      <x:c r="B9" s="16" t="str">
        <x:v>&lt;サイドストーリー（後編）&gt;</x:v>
      </x:c>
      <x:c r="C9" s="16" t="str">
        <x:v>面对其他 SEKAI 的 Miku 时，明确安抚 School Miku 的关系位置。比较语境是不同 Miku，不据此推成对所有角色的排他宣言。</x:v>
      </x:c>
      <x:c r="D9" s="16" t="str">
        <x:v>私の一番の先輩で、友達なのは</x:v>
      </x:c>
      <x:c r="E9" s="16" t="str">
        <x:v>https://github.com/ci-ke/ProjectSekai-story/blob/fdfbd5de4f28f21a326d031439feb9b0491111a5/story_jp/card/01%20Ln_%E6%98%9F%E4%B9%83%E4%B8%80%E6%AD%8C/1375_%E6%98%9F%E4%B9%83%E4%B8%80%E6%AD%8C_R4%20%EF%BC%94%E4%BA%BA%E3%81%AE%E3%83%9F%E3%82%AF%E9%81%94%20%28event_202%29.txt#L126</x:v>
      </x:c>
    </x:row>
    <x:row r="10" ht="120" customHeight="1">
      <x:c r="A10" s="16" t="str">
        <x:v>A06</x:v>
      </x:c>
      <x:c r="B10" s="16" t="str">
        <x:v>143-6 モヤモヤの正体</x:v>
      </x:c>
      <x:c r="C10" s="16" t="str">
        <x:v>跨越憧憬，明确定位朋友、前辈和重要存在。</x:v>
      </x:c>
      <x:c r="D10" s="16" t="str">
        <x:v>大切な存在</x:v>
      </x:c>
      <x:c r="E10" s="16" t="str">
        <x:v>https://github.com/ci-ke/ProjectSekai-story/blob/fdfbd5de4f28f21a326d031439feb9b0491111a5/story_jp/event/143%20This%20moment%20with%20you%EF%BC%81%20%28Ln_%E6%98%9F%E4%B9%83%E4%B8%80%E6%AD%8C%29/143-06%20%E3%83%A2%E3%83%A4%E3%83%A2%E3%83%A4%E3%81%AE%E6%AD%A3%E4%BD%93.txt#L25</x:v>
      </x:c>
    </x:row>
    <x:row r="11" ht="120" customHeight="1">
      <x:c r="A11" s="16" t="str">
        <x:v>A07</x:v>
      </x:c>
      <x:c r="B11" s="16" t="str">
        <x:v>76-8 届けたい音色</x:v>
      </x:c>
      <x:c r="C11" s="16" t="str">
        <x:v>在紧张的创作交流场合主动请 Miku 同行，事后承认她在场带来的支持。</x:v>
      </x:c>
      <x:c r="D11" s="16" t="str">
        <x:v>今日ミクに一緒に来てもらって</x:v>
      </x:c>
      <x:c r="E11" s="16" t="str">
        <x:v>https://github.com/ci-ke/ProjectSekai-story/blob/fdfbd5de4f28f21a326d031439feb9b0491111a5/story_jp/event/076%20Echo%20my%20melody%20%28Ln_%E6%98%9F%E4%B9%83%E4%B8%80%E6%AD%8C%29/076-08%20%E5%B1%8A%E3%81%91%E3%81%9F%E3%81%84%E9%9F%B3%E8%89%B2.txt#L19</x:v>
      </x:c>
    </x:row>
    <x:row r="12" ht="120" customHeight="1">
      <x:c r="A12" s="16" t="str">
        <x:v>A08</x:v>
      </x:c>
      <x:c r="B12" s="16" t="str">
        <x:v>leo_01_14 大切だから</x:v>
      </x:c>
      <x:c r="C12" s="16" t="str">
        <x:v>主动向 Luka 袒露两位重要朋友的愿望冲突以及自己不知如何是好。</x:v>
      </x:c>
      <x:c r="D12" s="16" t="str">
        <x:v>ルカ、聞いてもらっても</x:v>
      </x:c>
      <x:c r="E12" s="16" t="str">
        <x:v>https://github.com/ci-ke/ProjectSekai-story/blob/fdfbd5de4f28f21a326d031439feb9b0491111a5/story_jp/main/2%20Leo%EF%BC%8Fneed/leo_01_14%20%E5%A4%A7%E5%88%87%E3%81%A0%E3%81%8B%E3%82%89.txt#L11</x:v>
      </x:c>
    </x:row>
    <x:row r="13" ht="120" customHeight="1">
      <x:c r="A13" s="16" t="str">
        <x:v>A09</x:v>
      </x:c>
      <x:c r="B13" s="16" t="str">
        <x:v>&lt;サイドストーリー（前編）&gt;</x:v>
      </x:c>
      <x:c r="C13" s="16" t="str">
        <x:v>演出前承认紧张，并明确表示 Luka 的话让自己安心。</x:v>
      </x:c>
      <x:c r="D13" s="16" t="str">
        <x:v>ルカにそう言ってもらえると、安心する</x:v>
      </x:c>
      <x:c r="E13" s="16" t="str">
        <x:v>https://github.com/ci-ke/ProjectSekai-story/blob/fdfbd5de4f28f21a326d031439feb9b0491111a5/story_jp/card/24%20VS_%E5%B7%A1%E9%9F%B3%E3%83%AB%E3%82%AB/1292_%E5%B7%A1%E9%9F%B3%E3%83%AB%E3%82%AB%20%28Ln%29_R3%20%E7%9B%AE%E3%82%92%E4%BC%8F%E3%81%99%E3%81%82%E3%81%AA%E3%81%9F%E3%81%AE%E3%81%9D%E3%81%B0%E3%81%AB%20%28event_188%29.txt#L33</x:v>
      </x:c>
    </x:row>
    <x:row r="14" ht="120" customHeight="1">
      <x:c r="A14" s="16" t="str">
        <x:v>A10</x:v>
      </x:c>
      <x:c r="B14" s="16" t="str">
        <x:v>4 1413:areatalk_ev_band_08_004</x:v>
      </x:c>
      <x:c r="C14" s="16" t="str">
        <x:v>看到 Luka 的作品宣传，急忙拍照带给她，并主动约定分享 CD。</x:v>
      </x:c>
      <x:c r="D14" s="16" t="str">
        <x:v>ルカに見せたいなって思って</x:v>
      </x:c>
      <x:c r="E14" s="16" t="str">
        <x:v>https://github.com/ci-ke/ProjectSekai-story/blob/fdfbd5de4f28f21a326d031439feb9b0491111a5/story_jp/area/talk_event_056.txt#L63</x:v>
      </x:c>
    </x:row>
    <x:row r="15" ht="120" customHeight="1">
      <x:c r="A15" s="16" t="str">
        <x:v>A11</x:v>
      </x:c>
      <x:c r="B15" s="16" t="str">
        <x:v>&lt;サイドストーリー（後編）&gt;</x:v>
      </x:c>
      <x:c r="C15" s="16" t="str">
        <x:v>按自己对 Luka 的个人印象制作夜空卡片，亲手赠送。</x:v>
      </x:c>
      <x:c r="D15" s="16" t="str">
        <x:v>ルカはいつも落ち着いててかっこいい</x:v>
      </x:c>
      <x:c r="E15" s="16" t="str">
        <x:v>https://github.com/ci-ke/ProjectSekai-story/blob/fdfbd5de4f28f21a326d031439feb9b0491111a5/story_jp/card/22%20VS_%E9%8F%A1%E9%9F%B3%E3%83%AA%E3%83%B3/1129_%E9%8F%A1%E9%9F%B3%E3%83%AA%E3%83%B3%20%28Ln%29_R4%20%E3%82%88%E3%81%97%E3%82%88%E3%81%97%E3%83%8E%E3%83%BC%E3%82%B5%E3%83%B3%E3%82%AD%E3%83%A5%E3%83%BC%EF%BC%81%20%28event_159%29.txt#L110</x:v>
      </x:c>
    </x:row>
    <x:row r="16" ht="120" customHeight="1">
      <x:c r="A16" s="16" t="str">
        <x:v>A12</x:v>
      </x:c>
      <x:c r="B16" s="16" t="str">
        <x:v>54-5 教室、桜色の彼女は</x:v>
      </x:c>
      <x:c r="C16" s="16" t="str">
        <x:v>为让 Luka 亲自看见樱花而寻找、安排共同赏花。咲希的“大好きな人”不是一歌的台词，不转记。</x:v>
      </x:c>
      <x:c r="D16" s="16" t="str">
        <x:v>ルカに実際の桜を見てもらいたい</x:v>
      </x:c>
      <x:c r="E16" s="16" t="str">
        <x:v>https://github.com/ci-ke/ProjectSekai-story/blob/fdfbd5de4f28f21a326d031439feb9b0491111a5/story_jp/event/054%20%E3%82%BB%E3%82%AB%E3%82%A4%E3%81%AE%E6%A1%9C%E3%80%81%E3%81%A4%E3%81%AA%E3%81%8C%E3%82%8B%E6%83%B3%E3%81%84%20%28Mix_%E5%88%9D%E9%9F%B3%E3%83%9F%E3%82%AF-N25%29/054-05%20%E6%95%99%E5%AE%A4%E3%80%81%E6%A1%9C%E8%89%B2%E3%81%AE%E5%BD%BC%E5%A5%B3%E3%81%AF.txt#L51</x:v>
      </x:c>
    </x:row>
    <x:row r="17" ht="120" customHeight="1">
      <x:c r="A17" s="16" t="str">
        <x:v>A13</x:v>
      </x:c>
      <x:c r="B17" s="16" t="str">
        <x:v>&lt;サイドストーリー（前編）&gt;</x:v>
      </x:c>
      <x:c r="C17" s="16" t="str">
        <x:v>早期已把 Luka 列为生活重新动起来的具名帮助者，只支持个人意义，不自动当情感满分。</x:v>
      </x:c>
      <x:c r="D17" s="16" t="str">
        <x:v>咲希やミクやルカのおかげ</x:v>
      </x:c>
      <x:c r="E17" s="16" t="str">
        <x:v>https://github.com/ci-ke/ProjectSekai-story/blob/fdfbd5de4f28f21a326d031439feb9b0491111a5/story_jp/card/01%20Ln_%E6%98%9F%E4%B9%83%E4%B8%80%E6%AD%8C/0003_%E6%98%9F%E4%B9%83%E4%B8%80%E6%AD%8C_R3%20%E8%A6%8B%E4%B8%8A%E3%81%92%E3%82%8B%E5%85%88%E3%81%AB.txt#L63</x:v>
      </x:c>
    </x:row>
    <x:row r="18" ht="120" customHeight="1">
      <x:c r="A18" s="16" t="str">
        <x:v>A14</x:v>
      </x:c>
      <x:c r="B18" s="16" t="str">
        <x:v>34-6 恥ずかしがらずに</x:v>
      </x:c>
      <x:c r="C18" s="16" t="str">
        <x:v>向 KAITO 展示歌词并承认表达自身想法的羞耻感；需读完整对话，不以标题判定。</x:v>
      </x:c>
      <x:c r="D18" s="16" t="str">
        <x:v>恥ずかしい</x:v>
      </x:c>
      <x:c r="E18" s="16" t="str">
        <x:v>https://github.com/ci-ke/ProjectSekai-story/blob/fdfbd5de4f28f21a326d031439feb9b0491111a5/story_jp/event/034%20Knock%20the%20Future%21%21%20%28Ln_%E6%98%9F%E4%B9%83%E4%B8%80%E6%AD%8C%29/034-06%20%E6%81%A5%E3%81%9A%E3%81%8B%E3%81%97%E3%81%8C%E3%82%89%E3%81%9A%E3%81%AB.txt#L33</x:v>
      </x:c>
    </x:row>
    <x:row r="19" ht="120" customHeight="1">
      <x:c r="A19" s="16" t="str">
        <x:v>A15</x:v>
      </x:c>
      <x:c r="B19" s="16" t="str">
        <x:v>&lt;サイドストーリー（後編）&gt;</x:v>
      </x:c>
      <x:c r="C19" s="16" t="str">
        <x:v>特意早到与 KAITO 谈话，坦白不足，并希望今后继续向他倾诉、咨询。</x:v>
      </x:c>
      <x:c r="D19" s="16" t="str">
        <x:v>これからも相談とかに乗ってくれたら嬉しい</x:v>
      </x:c>
      <x:c r="E19" s="16" t="str">
        <x:v>https://github.com/ci-ke/ProjectSekai-story/blob/fdfbd5de4f28f21a326d031439feb9b0491111a5/story_jp/card/26%20VS_KAITO/0280_KAITO%20%28Ln%29_R4%20%E9%9F%B3%E3%81%A7%E8%AA%9E%E3%82%8B%E3%82%BB%E3%83%83%E3%82%B7%E3%83%A7%E3%83%B3%20%28event_34%29.txt#L82</x:v>
      </x:c>
    </x:row>
    <x:row r="20" ht="120" customHeight="1">
      <x:c r="A20" s="16" t="str">
        <x:v>A16</x:v>
      </x:c>
      <x:c r="B20" s="16" t="str">
        <x:v>&lt;サイドストーリー（前編）&gt;</x:v>
      </x:c>
      <x:c r="C20" s="16" t="str">
        <x:v>纪念日主动回顾珍视的话语，向 KAITO 表达具体且持久的感谢。</x:v>
      </x:c>
      <x:c r="D20" s="16" t="str">
        <x:v>カイトに伝えたいこともあった</x:v>
      </x:c>
      <x:c r="E20" s="16" t="str">
        <x:v>https://github.com/ci-ke/ProjectSekai-story/blob/fdfbd5de4f28f21a326d031439feb9b0491111a5/story_jp/card/26%20VS_KAITO/0594_KAITO_RB%20Happy%20Anniversary%EF%BC%81%EF%BC%812023.txt#L60</x:v>
      </x:c>
    </x:row>
    <x:row r="21" ht="120" customHeight="1">
      <x:c r="A21" s="16" t="str">
        <x:v>A17</x:v>
      </x:c>
      <x:c r="B21" s="16" t="str">
        <x:v>&lt;サイドストーリー（後編）&gt;</x:v>
      </x:c>
      <x:c r="C21" s="16" t="str">
        <x:v>一歌参与将特别处理的演出票赠给 KAITO，并明确希望他留着；属于群体赠礼中的个人表达。</x:v>
      </x:c>
      <x:c r="D21" s="16" t="str">
        <x:v>カイトに持っていてほしい</x:v>
      </x:c>
      <x:c r="E21" s="16" t="str">
        <x:v>https://github.com/ci-ke/ProjectSekai-story/blob/fdfbd5de4f28f21a326d031439feb9b0491111a5/story_jp/card/26%20VS_KAITO/0685_KAITO%20%28Ln%29_R4%20%E8%A6%8B%E5%AE%88%E3%81%A3%E3%81%A6%E3%81%8D%E3%81%9F%E8%BB%8C%E8%B7%A1%20%28event_101%29.txt#L105</x:v>
      </x:c>
    </x:row>
    <x:row r="22" ht="120" customHeight="1">
      <x:c r="A22" s="16" t="str">
        <x:v>A18</x:v>
      </x:c>
      <x:c r="B22" s="16" t="str">
        <x:v>6 2709:areatalk_monthly2508_001</x:v>
      </x:c>
      <x:c r="C22" s="16" t="str">
        <x:v>主动邀请 KAITO 分享自己喜爱的食物，超出技能求助。</x:v>
      </x:c>
      <x:c r="D22" s="16" t="str">
        <x:v>カイトがよければ、一緒に食べない</x:v>
      </x:c>
      <x:c r="E22" s="16" t="str">
        <x:v>https://github.com/ci-ke/ProjectSekai-story/blob/fdfbd5de4f28f21a326d031439feb9b0491111a5/story_jp/area/talk_event_173.txt#L86</x:v>
      </x:c>
    </x:row>
    <x:row r="23" ht="120" customHeight="1">
      <x:c r="A23" s="16" t="str">
        <x:v>A19</x:v>
      </x:c>
      <x:c r="B23" s="16" t="str">
        <x:v>&lt;サイドストーリー（後編）&gt;</x:v>
      </x:c>
      <x:c r="C23" s="16" t="str">
        <x:v>特意约咲希、Rin 到场，回赠拼有感谢字样的饼干；咲希说的大好き不是一歌对 Rin 的台词。</x:v>
      </x:c>
      <x:c r="D23" s="16" t="str">
        <x:v>私から、ふたりへのお礼</x:v>
      </x:c>
      <x:c r="E23" s="16" t="str">
        <x:v>https://github.com/ci-ke/ProjectSekai-story/blob/fdfbd5de4f28f21a326d031439feb9b0491111a5/story_jp/card/02%20Ln_%E5%A4%A9%E9%A6%AC%E5%92%B2%E5%B8%8C/0283_%E5%A4%A9%E9%A6%AC%E5%92%B2%E5%B8%8C_R2%20%E3%82%AF%E3%83%83%E3%82%AD%E3%83%BC%E3%83%BB%E3%82%A8%E3%83%BC%E3%83%AB%20%28event_34%29.txt#L154</x:v>
      </x:c>
    </x:row>
    <x:row r="24" ht="120" customHeight="1">
      <x:c r="A24" s="16" t="str">
        <x:v>A20</x:v>
      </x:c>
      <x:c r="B24" s="16" t="str">
        <x:v>&lt;サイドストーリー（後編）&gt;</x:v>
      </x:c>
      <x:c r="C24" s="16" t="str">
        <x:v>理解 Rin 想与伙伴分享快乐的心意，并亲口回应；不把 Rin 的单方面热情当一歌的感情。</x:v>
      </x:c>
      <x:c r="D24" s="16" t="str">
        <x:v>リンの気持ちはすごく嬉しかった</x:v>
      </x:c>
      <x:c r="E24" s="16" t="str">
        <x:v>https://github.com/ci-ke/ProjectSekai-story/blob/fdfbd5de4f28f21a326d031439feb9b0491111a5/story_jp/card/22%20VS_%E9%8F%A1%E9%9F%B3%E3%83%AA%E3%83%B3/1236_%E9%8F%A1%E9%9F%B3%E3%83%AA%E3%83%B3_R4%20%E3%83%A1%E3%83%AA%E3%83%BC%E3%82%B4%E3%83%BC%E3%83%A9%E3%83%B3%E3%83%89%E3%81%A7%E3%81%84%E3%81%88%E3%83%BC%E3%81%84%EF%BC%81%20%28event_179%29.txt#L137</x:v>
      </x:c>
    </x:row>
    <x:row r="25" ht="120" customHeight="1">
      <x:c r="A25" s="16" t="str">
        <x:v>A21</x:v>
      </x:c>
      <x:c r="B25" s="16" t="str">
        <x:v>8 2298:areatalk_monthly2406_001</x:v>
      </x:c>
      <x:c r="C25" s="16" t="str">
        <x:v>记得 Rin 的请求，带漫画续卷供她阅读。</x:v>
      </x:c>
      <x:c r="D25" s="16" t="str">
        <x:v>リンに頼まれてたマンガの続きを</x:v>
      </x:c>
      <x:c r="E25" s="16" t="str">
        <x:v>https://github.com/ci-ke/ProjectSekai-story/blob/fdfbd5de4f28f21a326d031439feb9b0491111a5/story_jp/area/talk_event_128.txt#L129</x:v>
      </x:c>
    </x:row>
    <x:row r="26" ht="120" customHeight="1">
      <x:c r="A26" s="16" t="str">
        <x:v>A22</x:v>
      </x:c>
      <x:c r="B26" s="16" t="str">
        <x:v>212-7 大事にしたいのは</x:v>
      </x:c>
      <x:c r="C26" s="16" t="str">
        <x:v>向 Rin、Len 说出职业取舍背后的恐惧与优先事项；同一谈话可分别证明向两人袒露。</x:v>
      </x:c>
      <x:c r="D26" s="16" t="str">
        <x:v>みんなと全力で活動できなくなるのが</x:v>
      </x:c>
      <x:c r="E26" s="16" t="str">
        <x:v>https://github.com/ci-ke/ProjectSekai-story/blob/fdfbd5de4f28f21a326d031439feb9b0491111a5/story_jp/event/212%20Echo%20of%20a%20Prayer%20%28Ln_%E6%98%9F%E4%B9%83%E4%B8%80%E6%AD%8C%29/212-07%20%E5%A4%A7%E4%BA%8B%E3%81%AB%E3%81%97%E3%81%9F%E3%81%84%E3%81%AE%E3%81%AF.txt#L47</x:v>
      </x:c>
    </x:row>
    <x:row r="27" ht="120" customHeight="1">
      <x:c r="A27" s="16" t="str">
        <x:v>A23</x:v>
      </x:c>
      <x:c r="B27" s="16" t="str">
        <x:v>212-7 大事にしたいのは</x:v>
      </x:c>
      <x:c r="C27" s="16" t="str">
        <x:v>一歌自己的内心独白确认两人的陪伴意义；不将重大的职业话题直接等同于更深感情。</x:v>
      </x:c>
      <x:c r="D27" s="16" t="str">
        <x:v>ひとりじゃ、こんなふうに笑えなかった</x:v>
      </x:c>
      <x:c r="E27" s="16" t="str">
        <x:v>https://github.com/ci-ke/ProjectSekai-story/blob/fdfbd5de4f28f21a326d031439feb9b0491111a5/story_jp/event/212%20Echo%20of%20a%20Prayer%20%28Ln_%E6%98%9F%E4%B9%83%E4%B8%80%E6%AD%8C%29/212-07%20%E5%A4%A7%E4%BA%8B%E3%81%AB%E3%81%97%E3%81%9F%E3%81%84%E3%81%AE%E3%81%AF.txt#L80</x:v>
      </x:c>
    </x:row>
    <x:row r="28" ht="120" customHeight="1">
      <x:c r="A28" s="16" t="str">
        <x:v>A24</x:v>
      </x:c>
      <x:c r="B28" s="16" t="str">
        <x:v>8 2298:areatalk_monthly2406_001</x:v>
      </x:c>
      <x:c r="C28" s="16" t="str">
        <x:v>一歌对 Len 体贴举动的个人评价；只是具体好感，未直接宣告深层依恋。</x:v>
      </x:c>
      <x:c r="D28" s="16" t="str">
        <x:v>レンって優しいな</x:v>
      </x:c>
      <x:c r="E28" s="16" t="str">
        <x:v>https://github.com/ci-ke/ProjectSekai-story/blob/fdfbd5de4f28f21a326d031439feb9b0491111a5/story_jp/area/talk_event_128.txt#L137</x:v>
      </x:c>
    </x:row>
    <x:row r="29" ht="120" customHeight="1">
      <x:c r="A29" s="16" t="str">
        <x:v>A25</x:v>
      </x:c>
      <x:c r="B29" s="16" t="str">
        <x:v>6 2047:areatalk_monthly2311_001</x:v>
      </x:c>
      <x:c r="C29" s="16" t="str">
        <x:v>主动赠予适合 Len 的拨片，并想听他演奏；拨片原为杂志附赠，不夸大成特意购置的礼物。</x:v>
      </x:c>
      <x:c r="D29" s="16" t="str">
        <x:v>このピックもらってくれない</x:v>
      </x:c>
      <x:c r="E29" s="16" t="str">
        <x:v>https://github.com/ci-ke/ProjectSekai-story/blob/fdfbd5de4f28f21a326d031439feb9b0491111a5/story_jp/area/talk_event_110.txt#L95</x:v>
      </x:c>
    </x:row>
    <x:row r="30" ht="120" customHeight="1">
      <x:c r="A30" s="16" t="str">
        <x:v>A26</x:v>
      </x:c>
      <x:c r="B30" s="16" t="str">
        <x:v>&lt;サイドストーリー（前編）&gt;</x:v>
      </x:c>
      <x:c r="C30" s="16" t="str">
        <x:v>向 MEIKO 说明职业抉择前的焦虑与尚未想明白的内心；中间对 Miku 的一句问话是回忆，不误认为本场对话对象。</x:v>
      </x:c>
      <x:c r="D30" s="16" t="str">
        <x:v>実は、明日</x:v>
      </x:c>
      <x:c r="E30" s="16" t="str">
        <x:v>https://github.com/ci-ke/ProjectSekai-story/blob/fdfbd5de4f28f21a326d031439feb9b0491111a5/story_jp/card/25%20VS_MEIKO/0211_MEIKO%20%28Ln%29_R2%20%E7%AD%94%E3%81%88%E3%82%92%E6%8E%A2%E3%81%97%E3%81%A6%20%28event_20%29.txt#L24</x:v>
      </x:c>
    </x:row>
    <x:row r="31" ht="120" customHeight="1">
      <x:c r="A31" s="16" t="str">
        <x:v>A27</x:v>
      </x:c>
      <x:c r="B31" s="16" t="str">
        <x:v>&lt;サイドストーリー（前編）&gt;</x:v>
      </x:c>
      <x:c r="C31" s="16" t="str">
        <x:v>提前参与筹备纪念日，询问并尊重 MEIKO 的愿望，愿意帮她完成。</x:v>
      </x:c>
      <x:c r="D31" s="16" t="str">
        <x:v>メイコがやりたいならなんでも手伝う</x:v>
      </x:c>
      <x:c r="E31" s="16" t="str">
        <x:v>https://github.com/ci-ke/ProjectSekai-story/blob/fdfbd5de4f28f21a326d031439feb9b0491111a5/story_jp/card/25%20VS_MEIKO/0784_MEIKO_RB%20Happy%20Anniversary%EF%BC%81%EF%BC%812023.txt#L68</x:v>
      </x:c>
    </x:row>
    <x:row r="32" ht="120" customHeight="1">
      <x:c r="A32" s="16" t="str">
        <x:v>A28</x:v>
      </x:c>
      <x:c r="B32" s="16" t="str">
        <x:v>182-6 届く、繋がる</x:v>
      </x:c>
      <x:c r="C32" s="16" t="str">
        <x:v>具体感谢 MEIKO 推动作品公开。首先是成长归因，不凭这句把情感表达升到高档。</x:v>
      </x:c>
      <x:c r="D32" s="16" t="str">
        <x:v>それに、メイコもありがとう</x:v>
      </x:c>
      <x:c r="E32" s="16" t="str">
        <x:v>https://github.com/ci-ke/ProjectSekai-story/blob/fdfbd5de4f28f21a326d031439feb9b0491111a5/story_jp/event/182%20%E5%90%9B%E3%81%A8%E7%B9%8B%E3%81%90Heart%20Beat%20%28Ln_%E6%98%9F%E4%B9%83%E4%B8%80%E6%AD%8C%29/182-06%20%E5%B1%8A%E3%81%8F%E3%80%81%E7%B9%8B%E3%81%8C%E3%82%8B.txt#L79</x:v>
      </x:c>
    </x:row>
    <x:row r="33" ht="120" customHeight="1">
      <x:c r="A33" s="16" t="str">
        <x:v>A29</x:v>
      </x:c>
      <x:c r="B33" s="16" t="str">
        <x:v>&lt;サイドストーリー（前編）&gt;</x:v>
      </x:c>
      <x:c r="C33" s="16" t="str">
        <x:v>在六位 VS 均明确在场的生日谈话中主动表示想见大家。支持群体亲近，不能证明六组关系同样深。</x:v>
      </x:c>
      <x:c r="D33" s="16" t="str">
        <x:v>私がみんなに会いたいから</x:v>
      </x:c>
      <x:c r="E33" s="16" t="str">
        <x:v>https://github.com/ci-ke/ProjectSekai-story/blob/fdfbd5de4f28f21a326d031439feb9b0491111a5/story_jp/card/01%20Ln_%E6%98%9F%E4%B9%83%E4%B8%80%E6%AD%8C/0699_%E6%98%9F%E4%B9%83%E4%B8%80%E6%AD%8C_RB%20Happy%20Birthday%EF%BC%81%EF%BC%812023.txt#L24</x:v>
      </x:c>
    </x:row>
  </x:sheetData>
  <x:pageMargins left="0.7" right="0.7" top="0.75" bottom="0.75" header="0.3" footer="0.3"/>
</x:worksheet>
</file>